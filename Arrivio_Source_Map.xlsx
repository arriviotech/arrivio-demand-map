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ources" sheetId="2" state="visible" r:id="rId4"/>
    <sheet name="Sample listings" sheetId="3" state="visible" r:id="rId5"/>
    <sheet name="Cost model" sheetId="4" state="visible" r:id="rId6"/>
    <sheet name="Field to UI" sheetId="5" state="visible" r:id="rId7"/>
    <sheet name="Valida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<sst xmlns="http://schemas.openxmlformats.org/spreadsheetml/2006/main" count="500" uniqueCount="363">
  <si>
    <t xml:space="preserve">Arrivio Map — Data Source Map</t>
  </si>
  <si>
    <t xml:space="preserve">Where every supply-side data point comes from, and how it is used in the interface.</t>
  </si>
  <si>
    <t xml:space="preserve">Created</t>
  </si>
  <si>
    <t xml:space="preserve">2026-06-22</t>
  </si>
  <si>
    <t xml:space="preserve">Prepared for</t>
  </si>
  <si>
    <t xml:space="preserve">Ayush (ayush@arrivio.global)</t>
  </si>
  <si>
    <t xml:space="preserve">Scope</t>
  </si>
  <si>
    <t xml:space="preserve">Supply layers: office/commercial acquisition targets + small/independent hotel M&amp;A/lease targets. All Germany.</t>
  </si>
  <si>
    <t xml:space="preserve">Companion doc</t>
  </si>
  <si>
    <t xml:space="preserve">ARRIVIO_DATA_REBUILD_PLAN.md (plan, sources, filter/normalise/validate methodology)</t>
  </si>
  <si>
    <t xml:space="preserve">Sheet: Sources</t>
  </si>
  <si>
    <t xml:space="preserve">Every website/source: what it provides, how it is fetched, license/ToS note, validation status.</t>
  </si>
  <si>
    <t xml:space="preserve">Sheet: Sample listings</t>
  </si>
  <si>
    <t xml:space="preserve">REAL listings captured 2026-06-22 as a proof-of-concept seed. Each row shows source + URL + how it maps to the UI.</t>
  </si>
  <si>
    <t xml:space="preserve">Sheet: Cost model</t>
  </si>
  <si>
    <t xml:space="preserve">The 'cost to Arrivio' assumptions (hotel purchase via EUR/key, annual lease) with sources. Edit the yellow cells to override.</t>
  </si>
  <si>
    <t xml:space="preserve">Sheet: Field to UI</t>
  </si>
  <si>
    <t xml:space="preserve">Each dataset field -&gt; exactly where it appears on the map/interface, with confidence.</t>
  </si>
  <si>
    <t xml:space="preserve">Legend - Fetch</t>
  </si>
  <si>
    <t xml:space="preserve">plain = structured listings on a normal fetch | browser = JavaScript-rendered, needs browser tool | api = queryable endpoint</t>
  </si>
  <si>
    <t xml:space="preserve">Legend - Basis</t>
  </si>
  <si>
    <t xml:space="preserve">LISTED = real asking figure from a live listing | MODELED = our estimate (formula in Cost model sheet)</t>
  </si>
  <si>
    <t xml:space="preserve">Note</t>
  </si>
  <si>
    <t xml:space="preserve">Sample listings here are ~16 rows to validate the method. The full national pull (hundreds of properties) follows your go-ahead.</t>
  </si>
  <si>
    <t xml:space="preserve">Sources (validated 2026-06-22)</t>
  </si>
  <si>
    <t xml:space="preserve">Source</t>
  </si>
  <si>
    <t xml:space="preserve">Category</t>
  </si>
  <si>
    <t xml:space="preserve">What it provides</t>
  </si>
  <si>
    <t xml:space="preserve">Fetch</t>
  </si>
  <si>
    <t xml:space="preserve">License / ToS note</t>
  </si>
  <si>
    <t xml:space="preserve">URL</t>
  </si>
  <si>
    <t xml:space="preserve">Validated</t>
  </si>
  <si>
    <t xml:space="preserve">Tranio</t>
  </si>
  <si>
    <t xml:space="preserve">Office+Hotel</t>
  </si>
  <si>
    <t xml:space="preserve">Title, type, PRICE EUR, area m2, yield %, year, location, direct listing URL. 515 German listings, filterable per state &amp; type.</t>
  </si>
  <si>
    <t xml:space="preserve">plain</t>
  </si>
  <si>
    <t xml:space="preserve">Public aggregator; keep source URL for attribution; respect rate limits.</t>
  </si>
  <si>
    <t xml:space="preserve">https://tranio.com/commercial/germany/</t>
  </si>
  <si>
    <t xml:space="preserve">OK - structured data returned</t>
  </si>
  <si>
    <t xml:space="preserve">Christie &amp; Co</t>
  </si>
  <si>
    <t xml:space="preserve">Hotel</t>
  </si>
  <si>
    <t xml:space="preserve">Hotels, guesthouses, boarding houses for sale; per-listing detail. Hotel specialist.</t>
  </si>
  <si>
    <t xml:space="preserve">browser</t>
  </si>
  <si>
    <t xml:space="preserve">Listings load via business-search API; render with browser tool. Public.</t>
  </si>
  <si>
    <t xml:space="preserve">https://www.christie.com/hotels-for-sale/germany/</t>
  </si>
  <si>
    <t xml:space="preserve">OK - needs browser render</t>
  </si>
  <si>
    <t xml:space="preserve">Engel &amp; Voelkers Commercial</t>
  </si>
  <si>
    <t xml:space="preserve">Offices, retail, industrial, hotels for sale/lease; price, size, location. Large inventory.</t>
  </si>
  <si>
    <t xml:space="preserve">Public broker listings; JS-rendered.</t>
  </si>
  <si>
    <t xml:space="preserve">https://www.engelvoelkers.com/de/en/commercial</t>
  </si>
  <si>
    <t xml:space="preserve">To pull (browser)</t>
  </si>
  <si>
    <t xml:space="preserve">Engel &amp; Voelkers Hotel</t>
  </si>
  <si>
    <t xml:space="preserve">Hotels for sale per federal state.</t>
  </si>
  <si>
    <t xml:space="preserve">Public; JS-rendered.</t>
  </si>
  <si>
    <t xml:space="preserve">https://www.engelvoelkers.com/de/en/properties/com/sale/hotel</t>
  </si>
  <si>
    <t xml:space="preserve">Properstar / Arkadia / Realting / PrimeLocation / Reedb</t>
  </si>
  <si>
    <t xml:space="preserve">Aggregated commercial listings; price + location. Widen coverage.</t>
  </si>
  <si>
    <t xml:space="preserve">plain/browser</t>
  </si>
  <si>
    <t xml:space="preserve">Public aggregators; test each; attribute by URL.</t>
  </si>
  <si>
    <t xml:space="preserve">https://www.properstar.com/germany/buy/building/commercial-building</t>
  </si>
  <si>
    <t xml:space="preserve">To test</t>
  </si>
  <si>
    <t xml:space="preserve">Broker investment listings (JLL, CBRE, Colliers, BNP PRE, Savills, Aengevelt)</t>
  </si>
  <si>
    <t xml:space="preserve">Office</t>
  </si>
  <si>
    <t xml:space="preserve">Larger investment / development / conversion assets.</t>
  </si>
  <si>
    <t xml:space="preserve">Public broker pages; JS-rendered.</t>
  </si>
  <si>
    <t xml:space="preserve">https://www.jll.de</t>
  </si>
  <si>
    <t xml:space="preserve">OpenStreetMap (Overpass)</t>
  </si>
  <si>
    <t xml:space="preserve">Hotel+Office baseline</t>
  </si>
  <si>
    <t xml:space="preserve">Locations of office=* and tourism=hotel|guest_house; rooms/stars where tagged.</t>
  </si>
  <si>
    <t xml:space="preserve">api</t>
  </si>
  <si>
    <t xml:space="preserve">ODbL open license. Baseline universe, separate from priced listings.</t>
  </si>
  <si>
    <t xml:space="preserve">https://overpass-api.de</t>
  </si>
  <si>
    <t xml:space="preserve">In use (existing build)</t>
  </si>
  <si>
    <t xml:space="preserve">nexxt-change</t>
  </si>
  <si>
    <t xml:space="preserve">EXCLUDED</t>
  </si>
  <si>
    <t xml:space="preserve">Business succession marketplace. Does NOT handle commercial real estate (confirmed on site).</t>
  </si>
  <si>
    <t xml:space="preserve">-</t>
  </si>
  <si>
    <t xml:space="preserve">Not applicable - out of scope.</t>
  </si>
  <si>
    <t xml:space="preserve">https://www.nexxt-change.org</t>
  </si>
  <si>
    <t xml:space="preserve">Excluded</t>
  </si>
  <si>
    <t xml:space="preserve">European Hotel Transactions Report 2025 (Global Asset Solutions)</t>
  </si>
  <si>
    <t xml:space="preserve">Benchmark</t>
  </si>
  <si>
    <t xml:space="preserve">EUR/key by segment: avg 210k; Midscale&amp;Economy 229k; Upscale 307k (European).</t>
  </si>
  <si>
    <t xml:space="preserve">Public report; cite.</t>
  </si>
  <si>
    <t xml:space="preserve">https://www.globalassetsolutions.com/european-hotel-transactions-2025</t>
  </si>
  <si>
    <t xml:space="preserve">OK</t>
  </si>
  <si>
    <t xml:space="preserve">CBRE Germany - hotel investment 2025</t>
  </si>
  <si>
    <t xml:space="preserve">German volume ~EUR 1.9bn; prime yield ~5.8%.</t>
  </si>
  <si>
    <t xml:space="preserve">Public press release; cite.</t>
  </si>
  <si>
    <t xml:space="preserve">https://www.cbre.de/en-gb/press-releases/germanys-hotel-investment-market-gains-notable-traction-again-in-2025</t>
  </si>
  <si>
    <t xml:space="preserve">Christie &amp; Co DACH Hotel Investment Report 2025</t>
  </si>
  <si>
    <t xml:space="preserve">German segment context, regional spreads, EUR/key.</t>
  </si>
  <si>
    <t xml:space="preserve">plain (PDF)</t>
  </si>
  <si>
    <t xml:space="preserve">https://www.christie.com/news-resources/</t>
  </si>
  <si>
    <t xml:space="preserve">DLA Piper / Lexology - German lease law</t>
  </si>
  <si>
    <t xml:space="preserve">Hotel leases = Pachtvertrag, 10y+, turnover rent + fixed minimum, hybrid lease/mgmt.</t>
  </si>
  <si>
    <t xml:space="preserve">Public legal explainer; cite.</t>
  </si>
  <si>
    <t xml:space="preserve">https://www.lexology.com</t>
  </si>
  <si>
    <t xml:space="preserve">ahgzimmo.de (AHGZ Immobilienmarkt)</t>
  </si>
  <si>
    <t xml:space="preserve">Hotel (lease+sale)</t>
  </si>
  <si>
    <t xml:space="preserve">Hotel/Gastgewerbe LEASE (Pacht) and SALE listings across Germany; address, rooms, area, Kaltmiete/Pacht or price, availability, lat/lng in page meta. Per-state browse pages.</t>
  </si>
  <si>
    <t xml:space="preserve">Run by Deutscher Fachverlag (publisher of AHGZ trade paper). Public; plain-fetchable + geocoded. Attribute by URL.</t>
  </si>
  <si>
    <t xml:space="preserve">https://www.ahgzimmo.de/</t>
  </si>
  <si>
    <t xml:space="preserve">OK - structured + geocoded; PRIORITY for lease deals</t>
  </si>
  <si>
    <t xml:space="preserve">Destatis / Regionalstatistik GENESIS 45412</t>
  </si>
  <si>
    <t xml:space="preserve">Hotel supply universe</t>
  </si>
  <si>
    <t xml:space="preserve">Beherbergungsbetriebe + Schlafgelegenheiten (beds) + arrivals + overnights by Betriebsart x Bundesland. Sizes the target pool &amp; occupancy context per state.</t>
  </si>
  <si>
    <t xml:space="preserve">browser/api</t>
  </si>
  <si>
    <t xml:space="preserve">Official (Statistische Aemter d. Bundes u. d. Laender). Datenlizenz DE 2.0. Table 45412-02-02-4-B.</t>
  </si>
  <si>
    <t xml:space="preserve">https://www.regionalstatistik.de/genesis/online?operation=table&amp;code=45412-02-02-4-B</t>
  </si>
  <si>
    <t xml:space="preserve">OK - pulled 2024, 16 Laender</t>
  </si>
  <si>
    <t xml:space="preserve">ahgzimmo Atom feed</t>
  </si>
  <si>
    <t xml:space="preserve">Hotel lease+sale</t>
  </si>
  <si>
    <t xml:space="preserve">Structured Atom feed of the same listings (clean parse): per item title, price, location, URL. Per state + deal type.</t>
  </si>
  <si>
    <t xml:space="preserve">Public feed. Best for automated crawl.</t>
  </si>
  <si>
    <t xml:space="preserve">https://www.ahgzimmo.de/suche.atom?t=hospitality:rental:commercial&amp;l=Deutschland&amp;a=de.deutschland</t>
  </si>
  <si>
    <t xml:space="preserve">pachtnetzwerk.immo</t>
  </si>
  <si>
    <t xml:space="preserve">Hotel &amp; gastronomy Pacht/Kauf with MAP (geocoded), by city &amp; Betriebsart. DACH.</t>
  </si>
  <si>
    <t xml:space="preserve">Public; map-based (JS).</t>
  </si>
  <si>
    <t xml:space="preserve">https://pachtnetzwerk.immo/</t>
  </si>
  <si>
    <t xml:space="preserve">gastro-pacht.de</t>
  </si>
  <si>
    <t xml:space="preserve">Hotel/gastro lease+sale</t>
  </si>
  <si>
    <t xml:space="preserve">Restaurants &amp; hotels buy/lease/rent marketplace.</t>
  </si>
  <si>
    <t xml:space="preserve">Public.</t>
  </si>
  <si>
    <t xml:space="preserve">https://www.gastro-pacht.de/gastronomie/</t>
  </si>
  <si>
    <t xml:space="preserve">hotelimmobilien.pachten-kaufen.de</t>
  </si>
  <si>
    <t xml:space="preserve">Dedicated buy &amp; lease exchange, private + commercial.</t>
  </si>
  <si>
    <t xml:space="preserve">https://www.hotelimmobilien.pachten-kaufen.de/gastronomieimmobilien.html</t>
  </si>
  <si>
    <t xml:space="preserve">JLL Germany Office (Market Dynamics)</t>
  </si>
  <si>
    <t xml:space="preserve">Office rent+vacancy</t>
  </si>
  <si>
    <t xml:space="preserve">Big-7 prime/avg rent, vacancy %, take-up, per quarter (Q1 2026).</t>
  </si>
  <si>
    <t xml:space="preserve">Public broker research; cite.</t>
  </si>
  <si>
    <t xml:space="preserve">https://www.jll.com/en-de/insights/market-dynamics/germany-office</t>
  </si>
  <si>
    <t xml:space="preserve">OK (anchors)</t>
  </si>
  <si>
    <t xml:space="preserve">Colliers City Survey</t>
  </si>
  <si>
    <t xml:space="preserve">Per-city leasing market: prime rent, vacancy (Germany ~8.5% YE2025).</t>
  </si>
  <si>
    <t xml:space="preserve">Public interactive survey.</t>
  </si>
  <si>
    <t xml:space="preserve">https://citysurvey.colliers.de/en/leasing-market/</t>
  </si>
  <si>
    <t xml:space="preserve">CBRE Germany</t>
  </si>
  <si>
    <t xml:space="preserve">Top-5 prime/avg office rents &amp; vacancy; hotel investment.</t>
  </si>
  <si>
    <t xml:space="preserve">Public press/research.</t>
  </si>
  <si>
    <t xml:space="preserve">https://www.cbre.de/en-gb/insights</t>
  </si>
  <si>
    <t xml:space="preserve">gif e.V. / vdp office rent index</t>
  </si>
  <si>
    <t xml:space="preserve">Office rent benchmark</t>
  </si>
  <si>
    <t xml:space="preserve">Standardised office rent indices (vdp) and definitions (gif).</t>
  </si>
  <si>
    <t xml:space="preserve">Public indices; cite.</t>
  </si>
  <si>
    <t xml:space="preserve">https://www.pfandbrief.de</t>
  </si>
  <si>
    <t xml:space="preserve">Reference</t>
  </si>
  <si>
    <t xml:space="preserve">Sample listings (real, captured 2026-06-22) - proof-of-concept seed</t>
  </si>
  <si>
    <t xml:space="preserve">id</t>
  </si>
  <si>
    <t xml:space="preserve">kind</t>
  </si>
  <si>
    <t xml:space="preserve">name</t>
  </si>
  <si>
    <t xml:space="preserve">city</t>
  </si>
  <si>
    <t xml:space="preserve">state</t>
  </si>
  <si>
    <t xml:space="preserve">area_m2</t>
  </si>
  <si>
    <t xml:space="preserve">rooms</t>
  </si>
  <si>
    <t xml:space="preserve">listed_price_eur</t>
  </si>
  <si>
    <t xml:space="preserve">price_basis</t>
  </si>
  <si>
    <t xml:space="preserve">yield_pct</t>
  </si>
  <si>
    <t xml:space="preserve">eur_per_m2</t>
  </si>
  <si>
    <t xml:space="preserve">est_lease_eur_yr</t>
  </si>
  <si>
    <t xml:space="preserve">source</t>
  </si>
  <si>
    <t xml:space="preserve">source_url</t>
  </si>
  <si>
    <t xml:space="preserve">captured</t>
  </si>
  <si>
    <t xml:space="preserve">how_used_in_UI</t>
  </si>
  <si>
    <t xml:space="preserve">tranio-2483795</t>
  </si>
  <si>
    <t xml:space="preserve">hotel</t>
  </si>
  <si>
    <t xml:space="preserve">Hotel in Munich</t>
  </si>
  <si>
    <t xml:space="preserve">Munich</t>
  </si>
  <si>
    <t xml:space="preserve">Bayern</t>
  </si>
  <si>
    <t xml:space="preserve">LISTED</t>
  </si>
  <si>
    <t xml:space="preserve">https://tranio.com/commercial/germany/adt/hotel-in-munich-2483795/</t>
  </si>
  <si>
    <t xml:space="preserve">Pin (hotel target); card shows listed price + lease est; density weight</t>
  </si>
  <si>
    <t xml:space="preserve">tranio-2483792</t>
  </si>
  <si>
    <t xml:space="preserve">Hotel in Ingolstadt</t>
  </si>
  <si>
    <t xml:space="preserve">Ingolstadt</t>
  </si>
  <si>
    <t xml:space="preserve">https://tranio.com/commercial/germany/adt/hotel-in-ingolstadt-2483792/</t>
  </si>
  <si>
    <t xml:space="preserve">Pin; card listed price + lease est</t>
  </si>
  <si>
    <t xml:space="preserve">tranio-2391561</t>
  </si>
  <si>
    <t xml:space="preserve">Hotel in Bavaria</t>
  </si>
  <si>
    <t xml:space="preserve">https://tranio.com/commercial/germany/adt/hotel-in-bavaria-2391561/</t>
  </si>
  <si>
    <t xml:space="preserve">Pin (state-level geocode pending); card listed price</t>
  </si>
  <si>
    <t xml:space="preserve">tranio-2299932</t>
  </si>
  <si>
    <t xml:space="preserve">https://tranio.com/commercial/germany/adt/hotel-in-bavaria-2299932/</t>
  </si>
  <si>
    <t xml:space="preserve">Pin; card listed price</t>
  </si>
  <si>
    <t xml:space="preserve">tranio-2466551</t>
  </si>
  <si>
    <t xml:space="preserve">Hotel in Frankfurt</t>
  </si>
  <si>
    <t xml:space="preserve">Frankfurt</t>
  </si>
  <si>
    <t xml:space="preserve">Hessen</t>
  </si>
  <si>
    <t xml:space="preserve">https://tranio.com/commercial/germany/adt/hotel-in-frankfurt-am-main-2466551/</t>
  </si>
  <si>
    <t xml:space="preserve">tranio-bremen-nda</t>
  </si>
  <si>
    <t xml:space="preserve">Hotel in Bremen (NDA)</t>
  </si>
  <si>
    <t xml:space="preserve">Bremen</t>
  </si>
  <si>
    <t xml:space="preserve">Pin (NDA example); rooms known -&gt; cross-check EUR/key</t>
  </si>
  <si>
    <t xml:space="preserve">tranio-2299072</t>
  </si>
  <si>
    <t xml:space="preserve">office</t>
  </si>
  <si>
    <t xml:space="preserve">Office in Duesseldorf</t>
  </si>
  <si>
    <t xml:space="preserve">Duesseldorf</t>
  </si>
  <si>
    <t xml:space="preserve">Nordrhein-Westfalen</t>
  </si>
  <si>
    <t xml:space="preserve">https://tranio.com/commercial/germany/adt/office-in-dusseldorf-2299072/</t>
  </si>
  <si>
    <t xml:space="preserve">Pin (office target); card listed price + EUR/m2</t>
  </si>
  <si>
    <t xml:space="preserve">tranio-2480575</t>
  </si>
  <si>
    <t xml:space="preserve">mixed_use</t>
  </si>
  <si>
    <t xml:space="preserve">Business centre in Thueringen</t>
  </si>
  <si>
    <t xml:space="preserve">Thueringen</t>
  </si>
  <si>
    <t xml:space="preserve">https://tranio.com/commercial/germany/adt/business-centre-in-thuringen-2480575/</t>
  </si>
  <si>
    <t xml:space="preserve">Pin; card listed price + EUR/m2</t>
  </si>
  <si>
    <t xml:space="preserve">tranio-2270193</t>
  </si>
  <si>
    <t xml:space="preserve">retail</t>
  </si>
  <si>
    <t xml:space="preserve">Shop in Saxony</t>
  </si>
  <si>
    <t xml:space="preserve">Sachsen</t>
  </si>
  <si>
    <t xml:space="preserve">https://tranio.com/commercial/germany/adt/shop-in-saxony-2270193/</t>
  </si>
  <si>
    <t xml:space="preserve">Pin (retail-convertible); card listed price</t>
  </si>
  <si>
    <t xml:space="preserve">tranio-2486558</t>
  </si>
  <si>
    <t xml:space="preserve">https://tranio.com/commercial/germany/adt/shop-in-saxony-2486558/</t>
  </si>
  <si>
    <t xml:space="preserve">tranio-2486572</t>
  </si>
  <si>
    <t xml:space="preserve">Supermarket in Saxony-Anhalt</t>
  </si>
  <si>
    <t xml:space="preserve">Sachsen-Anhalt</t>
  </si>
  <si>
    <t xml:space="preserve">https://tranio.com/commercial/germany/adt/supermarket-in-saxony-anhalt-2486572/</t>
  </si>
  <si>
    <t xml:space="preserve">tranio-2379952</t>
  </si>
  <si>
    <t xml:space="preserve">Manufacturing facility in Darmstadt</t>
  </si>
  <si>
    <t xml:space="preserve">Darmstadt</t>
  </si>
  <si>
    <t xml:space="preserve">price_on_request</t>
  </si>
  <si>
    <t xml:space="preserve">https://tranio.com/commercial/germany/adt/manufacturing-facility-in-darmstadt-2379952/</t>
  </si>
  <si>
    <t xml:space="preserve">Pin; card shows DETAILS ONLY (price on request) + source link</t>
  </si>
  <si>
    <t xml:space="preserve">tranio-2466632</t>
  </si>
  <si>
    <t xml:space="preserve">Medical office in Darmstadt</t>
  </si>
  <si>
    <t xml:space="preserve">https://tranio.com/commercial/germany/adt/healthcare-real-estate-in-darmstadt-2466632/</t>
  </si>
  <si>
    <t xml:space="preserve">Pin; card details only + source link</t>
  </si>
  <si>
    <t xml:space="preserve">tranio-2270187</t>
  </si>
  <si>
    <t xml:space="preserve">Apartment building in Berlin</t>
  </si>
  <si>
    <t xml:space="preserve">Berlin</t>
  </si>
  <si>
    <t xml:space="preserve">https://tranio.com/commercial/germany/adt/apartment-building-in-berlin-2270187/</t>
  </si>
  <si>
    <t xml:space="preserve">Pin (conversion target); card listed price + EUR/m2</t>
  </si>
  <si>
    <t xml:space="preserve">osm-modeled-ex</t>
  </si>
  <si>
    <t xml:space="preserve">(example) Independent hotel, not on market</t>
  </si>
  <si>
    <t xml:space="preserve">Kassel</t>
  </si>
  <si>
    <t xml:space="preserve">MODELED</t>
  </si>
  <si>
    <t xml:space="preserve">OpenStreetMap</t>
  </si>
  <si>
    <t xml:space="preserve">Pin; card shows MODELED purchase (rooms x EUR/key) + lease, flagged est</t>
  </si>
  <si>
    <t xml:space="preserve">ahgz-GVL2CD</t>
  </si>
  <si>
    <t xml:space="preserve">Top-Hotel Garni 3*, Elberfeld (Fussgaengerzone)</t>
  </si>
  <si>
    <t xml:space="preserve">Wuppertal</t>
  </si>
  <si>
    <t xml:space="preserve">LISTED-lease</t>
  </si>
  <si>
    <t xml:space="preserve">ahgzimmo.de</t>
  </si>
  <si>
    <t xml:space="preserve">https://www.ahgzimmo.de/immobilien/top-hotel-3-sterne-wuppertal-elberfeld-fussgaengerzone-GVL2CD</t>
  </si>
  <si>
    <t xml:space="preserve">Pin (hotel lease target, lat 51.2535/lng 7.1391); card shows LISTED Pacht EUR10,000/mo net (+NK EUR2,500 +heat EUR2,000); avail 01.01.2027</t>
  </si>
  <si>
    <t xml:space="preserve">Cost model - 'cost to Arrivio'</t>
  </si>
  <si>
    <t xml:space="preserve">Edit the yellow input cells to override. MODELED outputs use these. LISTED prices ignore the model.</t>
  </si>
  <si>
    <t xml:space="preserve">Assumptions</t>
  </si>
  <si>
    <t xml:space="preserve">Prime yield (lease proxy)</t>
  </si>
  <si>
    <t xml:space="preserve">Source: CBRE Germany hotel 2025 (prime yield ~5.8%). Lease ~= asset value x yield.</t>
  </si>
  <si>
    <t xml:space="preserve">Turnover lease share (alt.)</t>
  </si>
  <si>
    <t xml:space="preserve">Source: German hotel Pacht commonly turnover rent ~20-25% (DLA Piper/Lexology).</t>
  </si>
  <si>
    <t xml:space="preserve">Hotel purchase: EUR per key (room) bands  [MODELED]</t>
  </si>
  <si>
    <t xml:space="preserve">Segment</t>
  </si>
  <si>
    <t xml:space="preserve">Low EUR/key</t>
  </si>
  <si>
    <t xml:space="preserve">High EUR/key</t>
  </si>
  <si>
    <t xml:space="preserve">Anchor / source</t>
  </si>
  <si>
    <t xml:space="preserve">Budget / rural independent</t>
  </si>
  <si>
    <t xml:space="preserve">Anchored below European avg; German regional discount.</t>
  </si>
  <si>
    <t xml:space="preserve">Midscale / good regional</t>
  </si>
  <si>
    <t xml:space="preserve">European Midscale &amp; Economy 229k discounted for small/independent.</t>
  </si>
  <si>
    <t xml:space="preserve">Upper-midscale / strong city</t>
  </si>
  <si>
    <t xml:space="preserve">European Upscale 307k context.</t>
  </si>
  <si>
    <t xml:space="preserve">Prime city / trophy</t>
  </si>
  <si>
    <t xml:space="preserve">German trophy up to ~2.0M/key (Mandarin Oriental Munich 2025).</t>
  </si>
  <si>
    <t xml:space="preserve">-- European anchors (reference) --</t>
  </si>
  <si>
    <t xml:space="preserve">Avg 210k; Midscale&amp;Economy 229k; Upscale 307k (European Hotel Transactions Report 2025).</t>
  </si>
  <si>
    <t xml:space="preserve">Star -&gt; rooms model (when rooms untagged)</t>
  </si>
  <si>
    <t xml:space="preserve">1-2 star</t>
  </si>
  <si>
    <t xml:space="preserve">3 star</t>
  </si>
  <si>
    <t xml:space="preserve">4 star</t>
  </si>
  <si>
    <t xml:space="preserve">5 star</t>
  </si>
  <si>
    <t xml:space="preserve">Regional multiplier</t>
  </si>
  <si>
    <t xml:space="preserve">A-city (Munich/Frankfurt/Berlin...)</t>
  </si>
  <si>
    <t xml:space="preserve">range 1.3-2.0</t>
  </si>
  <si>
    <t xml:space="preserve">Secondary city</t>
  </si>
  <si>
    <t xml:space="preserve">Rural / small town</t>
  </si>
  <si>
    <t xml:space="preserve">Worked example (MODELED hotel)</t>
  </si>
  <si>
    <t xml:space="preserve">Rooms</t>
  </si>
  <si>
    <t xml:space="preserve">EUR/key (midscale midpoint)</t>
  </si>
  <si>
    <t xml:space="preserve">Regional multiplier (secondary)</t>
  </si>
  <si>
    <t xml:space="preserve">Est. purchase (EUR)</t>
  </si>
  <si>
    <t xml:space="preserve">Est. annual lease (EUR)</t>
  </si>
  <si>
    <t xml:space="preserve">Calibration vs real listed lease (2026-06-22)</t>
  </si>
  <si>
    <t xml:space="preserve">Wuppertal 3* Hotel Garni, 54 rooms: LISTED Pacht = EUR10,000/mo net (+NK 2,500 +heat 2,000).</t>
  </si>
  <si>
    <t xml:space="preserve">approx EUR120,000/yr net ~= EUR2,222/room/yr (~EUR185/room/mo) net cold.</t>
  </si>
  <si>
    <t xml:space="preserve">Value x prime-yield proxy would estimate ~EUR340k/yr -&gt; the proxy OVERESTIMATES lease for secondary/independent assets.</t>
  </si>
  <si>
    <t xml:space="preserve">RULE: always use the LISTED lease when present; treat the value x yield model as an upper bound only, flagged est.</t>
  </si>
  <si>
    <t xml:space="preserve">Field -&gt; where it appears in the interface</t>
  </si>
  <si>
    <t xml:space="preserve">Field</t>
  </si>
  <si>
    <t xml:space="preserve">Meaning</t>
  </si>
  <si>
    <t xml:space="preserve">Where it shows in the UI</t>
  </si>
  <si>
    <t xml:space="preserve">Confidence</t>
  </si>
  <si>
    <t xml:space="preserve">lat / lng</t>
  </si>
  <si>
    <t xml:space="preserve">Geocoded property location</t>
  </si>
  <si>
    <t xml:space="preserve">Pin position on the map</t>
  </si>
  <si>
    <t xml:space="preserve">office / hotel / mixed_use / retail / ...</t>
  </si>
  <si>
    <t xml:space="preserve">Pin colour + card heading + layer filter</t>
  </si>
  <si>
    <t xml:space="preserve">name, city, state</t>
  </si>
  <si>
    <t xml:space="preserve">Property identity</t>
  </si>
  <si>
    <t xml:space="preserve">Pin card title/subtitle</t>
  </si>
  <si>
    <t xml:space="preserve">Floor area</t>
  </si>
  <si>
    <t xml:space="preserve">Pin card row; EUR/m2 calc</t>
  </si>
  <si>
    <t xml:space="preserve">rooms / stars</t>
  </si>
  <si>
    <t xml:space="preserve">Hotel size</t>
  </si>
  <si>
    <t xml:space="preserve">Pin card row; drives EUR/key when modeled</t>
  </si>
  <si>
    <t xml:space="preserve">LISTED/MODELED</t>
  </si>
  <si>
    <t xml:space="preserve">Real asking price</t>
  </si>
  <si>
    <t xml:space="preserve">Pin card 'Asking price' (bold)</t>
  </si>
  <si>
    <t xml:space="preserve">LISTED vs MODELED vs price_on_request</t>
  </si>
  <si>
    <t xml:space="preserve">Pin card flag ('asking' / 'est.' / 'on request')</t>
  </si>
  <si>
    <t xml:space="preserve">price / area</t>
  </si>
  <si>
    <t xml:space="preserve">Pin card row</t>
  </si>
  <si>
    <t xml:space="preserve">LISTED-derived</t>
  </si>
  <si>
    <t xml:space="preserve">est_purchase_eur</t>
  </si>
  <si>
    <t xml:space="preserve">rooms x EUR/key x regional mult (only if not listed)</t>
  </si>
  <si>
    <t xml:space="preserve">Pin card 'Est. purchase' (flagged est)</t>
  </si>
  <si>
    <t xml:space="preserve">asset value x prime yield</t>
  </si>
  <si>
    <t xml:space="preserve">Pin card 'Est. annual lease' (flagged est)</t>
  </si>
  <si>
    <t xml:space="preserve">Listing yield where given</t>
  </si>
  <si>
    <t xml:space="preserve">density (derived)</t>
  </si>
  <si>
    <t xml:space="preserve">Count/weight of pins per H3 hex, clipped</t>
  </si>
  <si>
    <t xml:space="preserve">Zoomed-out heatmap = where targets concentrate</t>
  </si>
  <si>
    <t xml:space="preserve">Derived</t>
  </si>
  <si>
    <t xml:space="preserve">source / source_url</t>
  </si>
  <si>
    <t xml:space="preserve">Provenance</t>
  </si>
  <si>
    <t xml:space="preserve">Pin card 'Source' link (opens listing)</t>
  </si>
  <si>
    <t xml:space="preserve">Capture date</t>
  </si>
  <si>
    <t xml:space="preserve">Pin card footnote</t>
  </si>
  <si>
    <t xml:space="preserve">Does the data make sense? (automated sanity checks)</t>
  </si>
  <si>
    <t xml:space="preserve">Derived from Destatis GENESIS 45412 (2024). Bed occupancy = overnights / (beds x 365), 'Hotels/Gasthöfe/Pensionen'.</t>
  </si>
  <si>
    <t xml:space="preserve">Bundesland</t>
  </si>
  <si>
    <t xml:space="preserve">Beds</t>
  </si>
  <si>
    <t xml:space="preserve">Occupancy %</t>
  </si>
  <si>
    <t xml:space="preserve">Reads as expected?</t>
  </si>
  <si>
    <t xml:space="preserve">Hamburg</t>
  </si>
  <si>
    <t xml:space="preserve">Yes - top metro, highest demand -&gt; tight supply -&gt; high rent</t>
  </si>
  <si>
    <t xml:space="preserve">Yes - big metro, high demand (matches your Berlin example)</t>
  </si>
  <si>
    <t xml:space="preserve">Schleswig-Holstein</t>
  </si>
  <si>
    <t xml:space="preserve">Yes - coastal leisure demand</t>
  </si>
  <si>
    <t xml:space="preserve">Yes - city-state</t>
  </si>
  <si>
    <t xml:space="preserve">Yes - large mixed (Munich high, rural lower)</t>
  </si>
  <si>
    <t xml:space="preserve">Mecklenburg-Vorpommern</t>
  </si>
  <si>
    <t xml:space="preserve">Yes - seasonal coast</t>
  </si>
  <si>
    <t xml:space="preserve">Baden-Württemberg</t>
  </si>
  <si>
    <t xml:space="preserve">Brandenburg</t>
  </si>
  <si>
    <t xml:space="preserve">Watch - well-connected Berlin-belt = spillover demand</t>
  </si>
  <si>
    <t xml:space="preserve">Your core demand region (80% of clients)</t>
  </si>
  <si>
    <t xml:space="preserve">Saarland</t>
  </si>
  <si>
    <t xml:space="preserve">Niedersachsen</t>
  </si>
  <si>
    <t xml:space="preserve">Thüringen</t>
  </si>
  <si>
    <t xml:space="preserve">Lowest tier - rural east</t>
  </si>
  <si>
    <t xml:space="preserve">Rheinland-Pfalz</t>
  </si>
  <si>
    <t xml:space="preserve">Lowest - rural</t>
  </si>
  <si>
    <t xml:space="preserve">Checks Claude Code should run on the full dataset:</t>
  </si>
  <si>
    <t xml:space="preserve">1. Density vs supply: hex pin-density should track GENESIS establishments/beds per region (not OSM coverage).</t>
  </si>
  <si>
    <t xml:space="preserve">2. Vacancy vs rent (offices): high vacancy -&gt; softer rent; low vacancy (e.g. Munich/Berlin) -&gt; higher prime rent. Flag inversions.</t>
  </si>
  <si>
    <t xml:space="preserve">3. Demand coherence: high occupancy + high migration (INKAR) + good rail (DB) =&gt; acquisition hotspot. Berlin/Hamburg should rank top.</t>
  </si>
  <si>
    <t xml:space="preserve">4. Rural-but-connected: low rent + rising migration + &lt;60min rail to a metro =&gt; opportunity (flag these).</t>
  </si>
  <si>
    <t xml:space="preserve">5. Pacht sanity: lease/m²/mo within EUR 3-30; lease/room/mo within EUR 100-600; flag outliers vs the Wuppertal anchor (~EUR185/room/mo).</t>
  </si>
  <si>
    <t xml:space="preserve">6. Price sanity: sale EUR/m² within local band; EUR/key within the segment bands (Cost model sheet). Flag &gt;2x band.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</si>
</sst>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"/>
    <numFmt numFmtId="167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6B2C91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3"/>
      <color rgb="FF6B2C91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6B2C91"/>
        <bgColor rgb="FF99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6B2C91"/>
      <rgbColor rgb="FFFFF2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1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5" t="s">
        <v>5</v>
      </c>
    </row>
    <row r="6" customFormat="false" ht="15" hidden="false" customHeight="true" outlineLevel="0" collapsed="false">
      <c r="A6" s="4" t="s">
        <v>6</v>
      </c>
      <c r="B6" s="5" t="s">
        <v>7</v>
      </c>
    </row>
    <row r="7" customFormat="false" ht="15" hidden="false" customHeight="true" outlineLevel="0" collapsed="false">
      <c r="A7" s="4" t="s">
        <v>8</v>
      </c>
      <c r="B7" s="5" t="s">
        <v>9</v>
      </c>
    </row>
    <row r="8" customFormat="false" ht="15" hidden="false" customHeight="true" outlineLevel="0" collapsed="false">
      <c r="A8" s="4"/>
      <c r="B8" s="5"/>
    </row>
    <row r="9" customFormat="false" ht="15" hidden="false" customHeight="true" outlineLevel="0" collapsed="false">
      <c r="A9" s="4" t="s">
        <v>10</v>
      </c>
      <c r="B9" s="5" t="s">
        <v>11</v>
      </c>
    </row>
    <row r="10" customFormat="false" ht="15" hidden="false" customHeight="true" outlineLevel="0" collapsed="false">
      <c r="A10" s="4" t="s">
        <v>12</v>
      </c>
      <c r="B10" s="5" t="s">
        <v>13</v>
      </c>
    </row>
    <row r="11" customFormat="false" ht="15" hidden="false" customHeight="true" outlineLevel="0" collapsed="false">
      <c r="A11" s="4" t="s">
        <v>14</v>
      </c>
      <c r="B11" s="5" t="s">
        <v>15</v>
      </c>
    </row>
    <row r="12" customFormat="false" ht="15" hidden="false" customHeight="true" outlineLevel="0" collapsed="false">
      <c r="A12" s="4" t="s">
        <v>16</v>
      </c>
      <c r="B12" s="5" t="s">
        <v>17</v>
      </c>
    </row>
    <row r="13" customFormat="false" ht="15" hidden="false" customHeight="true" outlineLevel="0" collapsed="false">
      <c r="A13" s="4"/>
      <c r="B13" s="5"/>
    </row>
    <row r="14" customFormat="false" ht="15" hidden="false" customHeight="true" outlineLevel="0" collapsed="false">
      <c r="A14" s="4" t="s">
        <v>18</v>
      </c>
      <c r="B14" s="5" t="s">
        <v>19</v>
      </c>
    </row>
    <row r="15" customFormat="false" ht="15" hidden="false" customHeight="true" outlineLevel="0" collapsed="false">
      <c r="A15" s="4" t="s">
        <v>20</v>
      </c>
      <c r="B15" s="5" t="s">
        <v>21</v>
      </c>
    </row>
    <row r="16" customFormat="false" ht="15" hidden="false" customHeight="true" outlineLevel="0" collapsed="false">
      <c r="A16" s="4" t="s">
        <v>22</v>
      </c>
      <c r="B16" s="5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2"/>
    <col collapsed="false" customWidth="true" hidden="false" outlineLevel="0" max="3" min="3" style="1" width="46"/>
    <col collapsed="false" customWidth="true" hidden="false" outlineLevel="0" max="4" min="4" style="1" width="10"/>
    <col collapsed="false" customWidth="true" hidden="false" outlineLevel="0" max="6" min="5" style="1" width="40"/>
    <col collapsed="false" customWidth="true" hidden="false" outlineLevel="0" max="7" min="7" style="1" width="12"/>
  </cols>
  <sheetData>
    <row r="1" customFormat="false" ht="17.25" hidden="false" customHeight="true" outlineLevel="0" collapsed="false">
      <c r="A1" s="2" t="s">
        <v>24</v>
      </c>
    </row>
    <row r="3" customFormat="false" ht="15" hidden="false" customHeight="true" outlineLevel="0" collapsed="false">
      <c r="A3" s="6" t="s">
        <v>25</v>
      </c>
      <c r="B3" s="6" t="s">
        <v>26</v>
      </c>
      <c r="C3" s="6" t="s">
        <v>27</v>
      </c>
      <c r="D3" s="6" t="s">
        <v>28</v>
      </c>
      <c r="E3" s="6" t="s">
        <v>29</v>
      </c>
      <c r="F3" s="6" t="s">
        <v>30</v>
      </c>
      <c r="G3" s="6" t="s">
        <v>31</v>
      </c>
    </row>
    <row r="4" customFormat="false" ht="34.5" hidden="false" customHeight="true" outlineLevel="0" collapsed="false">
      <c r="A4" s="7" t="s">
        <v>32</v>
      </c>
      <c r="B4" s="7" t="s">
        <v>33</v>
      </c>
      <c r="C4" s="7" t="s">
        <v>34</v>
      </c>
      <c r="D4" s="7" t="s">
        <v>35</v>
      </c>
      <c r="E4" s="7" t="s">
        <v>36</v>
      </c>
      <c r="F4" s="7" t="s">
        <v>37</v>
      </c>
      <c r="G4" s="7" t="s">
        <v>38</v>
      </c>
    </row>
    <row r="5" customFormat="false" ht="34.5" hidden="false" customHeight="true" outlineLevel="0" collapsed="false">
      <c r="A5" s="7" t="s">
        <v>39</v>
      </c>
      <c r="B5" s="7" t="s">
        <v>40</v>
      </c>
      <c r="C5" s="7" t="s">
        <v>41</v>
      </c>
      <c r="D5" s="7" t="s">
        <v>42</v>
      </c>
      <c r="E5" s="7" t="s">
        <v>43</v>
      </c>
      <c r="F5" s="7" t="s">
        <v>44</v>
      </c>
      <c r="G5" s="7" t="s">
        <v>45</v>
      </c>
    </row>
    <row r="6" customFormat="false" ht="23.25" hidden="false" customHeight="true" outlineLevel="0" collapsed="false">
      <c r="A6" s="7" t="s">
        <v>46</v>
      </c>
      <c r="B6" s="7" t="s">
        <v>33</v>
      </c>
      <c r="C6" s="7" t="s">
        <v>47</v>
      </c>
      <c r="D6" s="7" t="s">
        <v>42</v>
      </c>
      <c r="E6" s="7" t="s">
        <v>48</v>
      </c>
      <c r="F6" s="7" t="s">
        <v>49</v>
      </c>
      <c r="G6" s="7" t="s">
        <v>50</v>
      </c>
    </row>
    <row r="7" customFormat="false" ht="23.25" hidden="false" customHeight="true" outlineLevel="0" collapsed="false">
      <c r="A7" s="7" t="s">
        <v>51</v>
      </c>
      <c r="B7" s="7" t="s">
        <v>40</v>
      </c>
      <c r="C7" s="7" t="s">
        <v>52</v>
      </c>
      <c r="D7" s="7" t="s">
        <v>42</v>
      </c>
      <c r="E7" s="7" t="s">
        <v>53</v>
      </c>
      <c r="F7" s="7" t="s">
        <v>54</v>
      </c>
      <c r="G7" s="7" t="s">
        <v>50</v>
      </c>
    </row>
    <row r="8" customFormat="false" ht="23.25" hidden="false" customHeight="true" outlineLevel="0" collapsed="false">
      <c r="A8" s="7" t="s">
        <v>55</v>
      </c>
      <c r="B8" s="7" t="s">
        <v>33</v>
      </c>
      <c r="C8" s="7" t="s">
        <v>56</v>
      </c>
      <c r="D8" s="7" t="s">
        <v>57</v>
      </c>
      <c r="E8" s="7" t="s">
        <v>58</v>
      </c>
      <c r="F8" s="7" t="s">
        <v>59</v>
      </c>
      <c r="G8" s="7" t="s">
        <v>60</v>
      </c>
    </row>
    <row r="9" customFormat="false" ht="34.5" hidden="false" customHeight="true" outlineLevel="0" collapsed="false">
      <c r="A9" s="7" t="s">
        <v>61</v>
      </c>
      <c r="B9" s="7" t="s">
        <v>62</v>
      </c>
      <c r="C9" s="7" t="s">
        <v>63</v>
      </c>
      <c r="D9" s="7" t="s">
        <v>42</v>
      </c>
      <c r="E9" s="7" t="s">
        <v>64</v>
      </c>
      <c r="F9" s="7" t="s">
        <v>65</v>
      </c>
      <c r="G9" s="7" t="s">
        <v>50</v>
      </c>
    </row>
    <row r="10" customFormat="false" ht="34.5" hidden="false" customHeight="true" outlineLevel="0" collapsed="false">
      <c r="A10" s="7" t="s">
        <v>66</v>
      </c>
      <c r="B10" s="7" t="s">
        <v>67</v>
      </c>
      <c r="C10" s="7" t="s">
        <v>68</v>
      </c>
      <c r="D10" s="7" t="s">
        <v>69</v>
      </c>
      <c r="E10" s="7" t="s">
        <v>70</v>
      </c>
      <c r="F10" s="7" t="s">
        <v>71</v>
      </c>
      <c r="G10" s="7" t="s">
        <v>72</v>
      </c>
    </row>
    <row r="11" customFormat="false" ht="23.25" hidden="false" customHeight="true" outlineLevel="0" collapsed="false">
      <c r="A11" s="7" t="s">
        <v>73</v>
      </c>
      <c r="B11" s="7" t="s">
        <v>74</v>
      </c>
      <c r="C11" s="7" t="s">
        <v>75</v>
      </c>
      <c r="D11" s="7" t="s">
        <v>76</v>
      </c>
      <c r="E11" s="7" t="s">
        <v>77</v>
      </c>
      <c r="F11" s="7" t="s">
        <v>78</v>
      </c>
      <c r="G11" s="7" t="s">
        <v>79</v>
      </c>
    </row>
    <row r="12" customFormat="false" ht="34.5" hidden="false" customHeight="true" outlineLevel="0" collapsed="false">
      <c r="A12" s="7" t="s">
        <v>80</v>
      </c>
      <c r="B12" s="7" t="s">
        <v>81</v>
      </c>
      <c r="C12" s="7" t="s">
        <v>82</v>
      </c>
      <c r="D12" s="7" t="s">
        <v>35</v>
      </c>
      <c r="E12" s="7" t="s">
        <v>83</v>
      </c>
      <c r="F12" s="7" t="s">
        <v>84</v>
      </c>
      <c r="G12" s="7" t="s">
        <v>85</v>
      </c>
    </row>
    <row r="13" customFormat="false" ht="34.5" hidden="false" customHeight="true" outlineLevel="0" collapsed="false">
      <c r="A13" s="7" t="s">
        <v>86</v>
      </c>
      <c r="B13" s="7" t="s">
        <v>81</v>
      </c>
      <c r="C13" s="7" t="s">
        <v>87</v>
      </c>
      <c r="D13" s="7" t="s">
        <v>35</v>
      </c>
      <c r="E13" s="7" t="s">
        <v>88</v>
      </c>
      <c r="F13" s="7" t="s">
        <v>89</v>
      </c>
      <c r="G13" s="7" t="s">
        <v>85</v>
      </c>
    </row>
    <row r="14" customFormat="false" ht="23.25" hidden="false" customHeight="true" outlineLevel="0" collapsed="false">
      <c r="A14" s="7" t="s">
        <v>90</v>
      </c>
      <c r="B14" s="7" t="s">
        <v>81</v>
      </c>
      <c r="C14" s="7" t="s">
        <v>91</v>
      </c>
      <c r="D14" s="7" t="s">
        <v>92</v>
      </c>
      <c r="E14" s="7" t="s">
        <v>83</v>
      </c>
      <c r="F14" s="7" t="s">
        <v>93</v>
      </c>
      <c r="G14" s="7" t="s">
        <v>85</v>
      </c>
    </row>
    <row r="15" customFormat="false" ht="23.25" hidden="false" customHeight="true" outlineLevel="0" collapsed="false">
      <c r="A15" s="7" t="s">
        <v>94</v>
      </c>
      <c r="B15" s="7" t="s">
        <v>81</v>
      </c>
      <c r="C15" s="7" t="s">
        <v>95</v>
      </c>
      <c r="D15" s="7" t="s">
        <v>35</v>
      </c>
      <c r="E15" s="7" t="s">
        <v>96</v>
      </c>
      <c r="F15" s="7" t="s">
        <v>97</v>
      </c>
      <c r="G15" s="7" t="s">
        <v>85</v>
      </c>
    </row>
    <row r="16" customFormat="false" ht="57" hidden="false" customHeight="true" outlineLevel="0" collapsed="false">
      <c r="A16" s="7" t="s">
        <v>98</v>
      </c>
      <c r="B16" s="7" t="s">
        <v>99</v>
      </c>
      <c r="C16" s="7" t="s">
        <v>100</v>
      </c>
      <c r="D16" s="7" t="s">
        <v>35</v>
      </c>
      <c r="E16" s="7" t="s">
        <v>101</v>
      </c>
      <c r="F16" s="7" t="s">
        <v>102</v>
      </c>
      <c r="G16" s="7" t="s">
        <v>103</v>
      </c>
    </row>
    <row r="17" customFormat="false" ht="34.5" hidden="false" customHeight="true" outlineLevel="0" collapsed="false">
      <c r="A17" s="7" t="s">
        <v>104</v>
      </c>
      <c r="B17" s="7" t="s">
        <v>105</v>
      </c>
      <c r="C17" s="7" t="s">
        <v>106</v>
      </c>
      <c r="D17" s="7" t="s">
        <v>107</v>
      </c>
      <c r="E17" s="7" t="s">
        <v>108</v>
      </c>
      <c r="F17" s="7" t="s">
        <v>109</v>
      </c>
      <c r="G17" s="7" t="s">
        <v>110</v>
      </c>
    </row>
    <row r="18" customFormat="false" ht="35.05" hidden="false" customHeight="false" outlineLevel="0" collapsed="false">
      <c r="A18" s="7" t="s">
        <v>111</v>
      </c>
      <c r="B18" s="7" t="s">
        <v>112</v>
      </c>
      <c r="C18" s="7" t="s">
        <v>113</v>
      </c>
      <c r="D18" s="7" t="s">
        <v>35</v>
      </c>
      <c r="E18" s="7" t="s">
        <v>114</v>
      </c>
      <c r="F18" s="7" t="s">
        <v>115</v>
      </c>
      <c r="G18" s="7" t="s">
        <v>85</v>
      </c>
    </row>
    <row r="19" customFormat="false" ht="23.85" hidden="false" customHeight="false" outlineLevel="0" collapsed="false">
      <c r="A19" s="7" t="s">
        <v>116</v>
      </c>
      <c r="B19" s="7" t="s">
        <v>112</v>
      </c>
      <c r="C19" s="7" t="s">
        <v>117</v>
      </c>
      <c r="D19" s="7" t="s">
        <v>42</v>
      </c>
      <c r="E19" s="7" t="s">
        <v>118</v>
      </c>
      <c r="F19" s="7" t="s">
        <v>119</v>
      </c>
      <c r="G19" s="7" t="s">
        <v>50</v>
      </c>
    </row>
    <row r="20" customFormat="false" ht="23.85" hidden="false" customHeight="false" outlineLevel="0" collapsed="false">
      <c r="A20" s="7" t="s">
        <v>120</v>
      </c>
      <c r="B20" s="7" t="s">
        <v>121</v>
      </c>
      <c r="C20" s="7" t="s">
        <v>122</v>
      </c>
      <c r="D20" s="7" t="s">
        <v>57</v>
      </c>
      <c r="E20" s="7" t="s">
        <v>123</v>
      </c>
      <c r="F20" s="7" t="s">
        <v>124</v>
      </c>
      <c r="G20" s="7" t="s">
        <v>60</v>
      </c>
    </row>
    <row r="21" customFormat="false" ht="23.85" hidden="false" customHeight="false" outlineLevel="0" collapsed="false">
      <c r="A21" s="7" t="s">
        <v>125</v>
      </c>
      <c r="B21" s="7" t="s">
        <v>121</v>
      </c>
      <c r="C21" s="7" t="s">
        <v>126</v>
      </c>
      <c r="D21" s="7" t="s">
        <v>57</v>
      </c>
      <c r="E21" s="7" t="s">
        <v>123</v>
      </c>
      <c r="F21" s="7" t="s">
        <v>127</v>
      </c>
      <c r="G21" s="7" t="s">
        <v>60</v>
      </c>
    </row>
    <row r="22" customFormat="false" ht="23.85" hidden="false" customHeight="false" outlineLevel="0" collapsed="false">
      <c r="A22" s="7" t="s">
        <v>128</v>
      </c>
      <c r="B22" s="7" t="s">
        <v>129</v>
      </c>
      <c r="C22" s="7" t="s">
        <v>130</v>
      </c>
      <c r="D22" s="7" t="s">
        <v>42</v>
      </c>
      <c r="E22" s="7" t="s">
        <v>131</v>
      </c>
      <c r="F22" s="7" t="s">
        <v>132</v>
      </c>
      <c r="G22" s="7" t="s">
        <v>133</v>
      </c>
    </row>
    <row r="23" customFormat="false" ht="23.85" hidden="false" customHeight="false" outlineLevel="0" collapsed="false">
      <c r="A23" s="7" t="s">
        <v>134</v>
      </c>
      <c r="B23" s="7" t="s">
        <v>129</v>
      </c>
      <c r="C23" s="7" t="s">
        <v>135</v>
      </c>
      <c r="D23" s="7" t="s">
        <v>42</v>
      </c>
      <c r="E23" s="7" t="s">
        <v>136</v>
      </c>
      <c r="F23" s="7" t="s">
        <v>137</v>
      </c>
      <c r="G23" s="7" t="s">
        <v>133</v>
      </c>
    </row>
    <row r="24" customFormat="false" ht="23.85" hidden="false" customHeight="false" outlineLevel="0" collapsed="false">
      <c r="A24" s="7" t="s">
        <v>138</v>
      </c>
      <c r="B24" s="7" t="s">
        <v>129</v>
      </c>
      <c r="C24" s="7" t="s">
        <v>139</v>
      </c>
      <c r="D24" s="7" t="s">
        <v>42</v>
      </c>
      <c r="E24" s="7" t="s">
        <v>140</v>
      </c>
      <c r="F24" s="7" t="s">
        <v>141</v>
      </c>
      <c r="G24" s="7" t="s">
        <v>133</v>
      </c>
    </row>
    <row r="25" customFormat="false" ht="23.85" hidden="false" customHeight="false" outlineLevel="0" collapsed="false">
      <c r="A25" s="7" t="s">
        <v>142</v>
      </c>
      <c r="B25" s="7" t="s">
        <v>143</v>
      </c>
      <c r="C25" s="7" t="s">
        <v>144</v>
      </c>
      <c r="D25" s="7" t="s">
        <v>35</v>
      </c>
      <c r="E25" s="7" t="s">
        <v>145</v>
      </c>
      <c r="F25" s="7" t="s">
        <v>146</v>
      </c>
      <c r="G25" s="7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1"/>
    <col collapsed="false" customWidth="true" hidden="false" outlineLevel="0" max="3" min="3" style="1" width="30"/>
    <col collapsed="false" customWidth="true" hidden="false" outlineLevel="0" max="4" min="4" style="1" width="13"/>
    <col collapsed="false" customWidth="true" hidden="false" outlineLevel="0" max="5" min="5" style="1" width="16"/>
    <col collapsed="false" customWidth="true" hidden="false" outlineLevel="0" max="6" min="6" style="1" width="9"/>
    <col collapsed="false" customWidth="true" hidden="false" outlineLevel="0" max="7" min="7" style="1" width="7"/>
    <col collapsed="false" customWidth="true" hidden="false" outlineLevel="0" max="8" min="8" style="1" width="15"/>
    <col collapsed="false" customWidth="true" hidden="false" outlineLevel="0" max="9" min="9" style="1" width="11"/>
    <col collapsed="false" customWidth="true" hidden="false" outlineLevel="0" max="10" min="10" style="1" width="9"/>
    <col collapsed="false" customWidth="true" hidden="false" outlineLevel="0" max="11" min="11" style="1" width="11"/>
    <col collapsed="false" customWidth="true" hidden="false" outlineLevel="0" max="12" min="12" style="1" width="15"/>
    <col collapsed="false" customWidth="true" hidden="false" outlineLevel="0" max="13" min="13" style="1" width="10"/>
    <col collapsed="false" customWidth="true" hidden="false" outlineLevel="0" max="14" min="14" style="1" width="46"/>
    <col collapsed="false" customWidth="true" hidden="false" outlineLevel="0" max="15" min="15" style="1" width="11"/>
    <col collapsed="false" customWidth="true" hidden="false" outlineLevel="0" max="16" min="16" style="1" width="40"/>
  </cols>
  <sheetData>
    <row r="1" customFormat="false" ht="17.25" hidden="false" customHeight="true" outlineLevel="0" collapsed="false">
      <c r="A1" s="2" t="s">
        <v>148</v>
      </c>
    </row>
    <row r="3" customFormat="false" ht="26.25" hidden="false" customHeight="true" outlineLevel="0" collapsed="false">
      <c r="A3" s="6" t="s">
        <v>149</v>
      </c>
      <c r="B3" s="6" t="s">
        <v>150</v>
      </c>
      <c r="C3" s="6" t="s">
        <v>151</v>
      </c>
      <c r="D3" s="6" t="s">
        <v>152</v>
      </c>
      <c r="E3" s="6" t="s">
        <v>153</v>
      </c>
      <c r="F3" s="6" t="s">
        <v>154</v>
      </c>
      <c r="G3" s="6" t="s">
        <v>155</v>
      </c>
      <c r="H3" s="6" t="s">
        <v>156</v>
      </c>
      <c r="I3" s="6" t="s">
        <v>157</v>
      </c>
      <c r="J3" s="6" t="s">
        <v>158</v>
      </c>
      <c r="K3" s="6" t="s">
        <v>159</v>
      </c>
      <c r="L3" s="6" t="s">
        <v>160</v>
      </c>
      <c r="M3" s="6" t="s">
        <v>161</v>
      </c>
      <c r="N3" s="6" t="s">
        <v>162</v>
      </c>
      <c r="O3" s="6" t="s">
        <v>163</v>
      </c>
      <c r="P3" s="6" t="s">
        <v>164</v>
      </c>
    </row>
    <row r="4" customFormat="false" ht="23.25" hidden="false" customHeight="true" outlineLevel="0" collapsed="false">
      <c r="A4" s="7" t="s">
        <v>165</v>
      </c>
      <c r="B4" s="7" t="s">
        <v>166</v>
      </c>
      <c r="C4" s="7" t="s">
        <v>167</v>
      </c>
      <c r="D4" s="7" t="s">
        <v>168</v>
      </c>
      <c r="E4" s="7" t="s">
        <v>169</v>
      </c>
      <c r="F4" s="7" t="n">
        <v>1750</v>
      </c>
      <c r="G4" s="7"/>
      <c r="H4" s="8" t="n">
        <v>9200000</v>
      </c>
      <c r="I4" s="7" t="s">
        <v>170</v>
      </c>
      <c r="J4" s="9" t="n">
        <v>4.95</v>
      </c>
      <c r="K4" s="10" t="n">
        <f aca="false">H4/F4</f>
        <v>5257.14285714286</v>
      </c>
      <c r="L4" s="11" t="n">
        <f aca="false">H4*'Cost model'!$B$5</f>
        <v>533600</v>
      </c>
      <c r="M4" s="7" t="s">
        <v>32</v>
      </c>
      <c r="N4" s="7" t="s">
        <v>171</v>
      </c>
      <c r="O4" s="7" t="s">
        <v>3</v>
      </c>
      <c r="P4" s="7" t="s">
        <v>172</v>
      </c>
    </row>
    <row r="5" customFormat="false" ht="23.25" hidden="false" customHeight="true" outlineLevel="0" collapsed="false">
      <c r="A5" s="7" t="s">
        <v>173</v>
      </c>
      <c r="B5" s="7" t="s">
        <v>166</v>
      </c>
      <c r="C5" s="7" t="s">
        <v>174</v>
      </c>
      <c r="D5" s="7" t="s">
        <v>175</v>
      </c>
      <c r="E5" s="7" t="s">
        <v>169</v>
      </c>
      <c r="F5" s="7" t="n">
        <v>3500</v>
      </c>
      <c r="G5" s="7"/>
      <c r="H5" s="8" t="n">
        <v>8950000</v>
      </c>
      <c r="I5" s="7" t="s">
        <v>170</v>
      </c>
      <c r="J5" s="9" t="n">
        <v>5.26</v>
      </c>
      <c r="K5" s="10" t="n">
        <f aca="false">H5/F5</f>
        <v>2557.14285714286</v>
      </c>
      <c r="L5" s="11" t="n">
        <f aca="false">H5*'Cost model'!$B$5</f>
        <v>519100</v>
      </c>
      <c r="M5" s="7" t="s">
        <v>32</v>
      </c>
      <c r="N5" s="7" t="s">
        <v>176</v>
      </c>
      <c r="O5" s="7" t="s">
        <v>3</v>
      </c>
      <c r="P5" s="7" t="s">
        <v>177</v>
      </c>
    </row>
    <row r="6" customFormat="false" ht="23.25" hidden="false" customHeight="true" outlineLevel="0" collapsed="false">
      <c r="A6" s="7" t="s">
        <v>178</v>
      </c>
      <c r="B6" s="7" t="s">
        <v>166</v>
      </c>
      <c r="C6" s="7" t="s">
        <v>179</v>
      </c>
      <c r="D6" s="7"/>
      <c r="E6" s="7" t="s">
        <v>169</v>
      </c>
      <c r="F6" s="7" t="n">
        <v>2600</v>
      </c>
      <c r="G6" s="7"/>
      <c r="H6" s="8" t="n">
        <v>4700000</v>
      </c>
      <c r="I6" s="7" t="s">
        <v>170</v>
      </c>
      <c r="J6" s="9"/>
      <c r="K6" s="10" t="n">
        <f aca="false">H6/F6</f>
        <v>1807.69230769231</v>
      </c>
      <c r="L6" s="11" t="n">
        <f aca="false">H6*'Cost model'!$B$5</f>
        <v>272600</v>
      </c>
      <c r="M6" s="7" t="s">
        <v>32</v>
      </c>
      <c r="N6" s="7" t="s">
        <v>180</v>
      </c>
      <c r="O6" s="7" t="s">
        <v>3</v>
      </c>
      <c r="P6" s="7" t="s">
        <v>181</v>
      </c>
    </row>
    <row r="7" customFormat="false" ht="23.25" hidden="false" customHeight="true" outlineLevel="0" collapsed="false">
      <c r="A7" s="7" t="s">
        <v>182</v>
      </c>
      <c r="B7" s="7" t="s">
        <v>166</v>
      </c>
      <c r="C7" s="7" t="s">
        <v>179</v>
      </c>
      <c r="D7" s="7"/>
      <c r="E7" s="7" t="s">
        <v>169</v>
      </c>
      <c r="F7" s="7"/>
      <c r="G7" s="7"/>
      <c r="H7" s="8" t="n">
        <v>1700000</v>
      </c>
      <c r="I7" s="7" t="s">
        <v>170</v>
      </c>
      <c r="J7" s="9" t="n">
        <v>4</v>
      </c>
      <c r="K7" s="12"/>
      <c r="L7" s="11" t="n">
        <f aca="false">H7*'Cost model'!$B$5</f>
        <v>98600</v>
      </c>
      <c r="M7" s="7" t="s">
        <v>32</v>
      </c>
      <c r="N7" s="7" t="s">
        <v>183</v>
      </c>
      <c r="O7" s="7" t="s">
        <v>3</v>
      </c>
      <c r="P7" s="7" t="s">
        <v>184</v>
      </c>
    </row>
    <row r="8" customFormat="false" ht="23.25" hidden="false" customHeight="true" outlineLevel="0" collapsed="false">
      <c r="A8" s="7" t="s">
        <v>185</v>
      </c>
      <c r="B8" s="7" t="s">
        <v>166</v>
      </c>
      <c r="C8" s="7" t="s">
        <v>186</v>
      </c>
      <c r="D8" s="7" t="s">
        <v>187</v>
      </c>
      <c r="E8" s="7" t="s">
        <v>188</v>
      </c>
      <c r="F8" s="7" t="n">
        <v>3500</v>
      </c>
      <c r="G8" s="7"/>
      <c r="H8" s="8" t="n">
        <v>14500000</v>
      </c>
      <c r="I8" s="7" t="s">
        <v>170</v>
      </c>
      <c r="J8" s="9" t="n">
        <v>6.6</v>
      </c>
      <c r="K8" s="10" t="n">
        <f aca="false">H8/F8</f>
        <v>4142.85714285714</v>
      </c>
      <c r="L8" s="11" t="n">
        <f aca="false">H8*'Cost model'!$B$5</f>
        <v>841000</v>
      </c>
      <c r="M8" s="7" t="s">
        <v>32</v>
      </c>
      <c r="N8" s="7" t="s">
        <v>189</v>
      </c>
      <c r="O8" s="7" t="s">
        <v>3</v>
      </c>
      <c r="P8" s="7" t="s">
        <v>177</v>
      </c>
    </row>
    <row r="9" customFormat="false" ht="23.25" hidden="false" customHeight="true" outlineLevel="0" collapsed="false">
      <c r="A9" s="7" t="s">
        <v>190</v>
      </c>
      <c r="B9" s="7" t="s">
        <v>166</v>
      </c>
      <c r="C9" s="7" t="s">
        <v>191</v>
      </c>
      <c r="D9" s="7" t="s">
        <v>192</v>
      </c>
      <c r="E9" s="7" t="s">
        <v>192</v>
      </c>
      <c r="F9" s="7"/>
      <c r="G9" s="7" t="n">
        <v>70</v>
      </c>
      <c r="H9" s="8" t="n">
        <v>7500000</v>
      </c>
      <c r="I9" s="7" t="s">
        <v>170</v>
      </c>
      <c r="J9" s="9" t="n">
        <v>5</v>
      </c>
      <c r="K9" s="12"/>
      <c r="L9" s="11" t="n">
        <f aca="false">H9*'Cost model'!$B$5</f>
        <v>435000</v>
      </c>
      <c r="M9" s="7" t="s">
        <v>32</v>
      </c>
      <c r="N9" s="7" t="s">
        <v>37</v>
      </c>
      <c r="O9" s="7" t="s">
        <v>3</v>
      </c>
      <c r="P9" s="7" t="s">
        <v>193</v>
      </c>
    </row>
    <row r="10" customFormat="false" ht="23.25" hidden="false" customHeight="true" outlineLevel="0" collapsed="false">
      <c r="A10" s="7" t="s">
        <v>194</v>
      </c>
      <c r="B10" s="7" t="s">
        <v>195</v>
      </c>
      <c r="C10" s="7" t="s">
        <v>196</v>
      </c>
      <c r="D10" s="7" t="s">
        <v>197</v>
      </c>
      <c r="E10" s="7" t="s">
        <v>198</v>
      </c>
      <c r="F10" s="7" t="n">
        <v>80</v>
      </c>
      <c r="G10" s="7"/>
      <c r="H10" s="8" t="n">
        <v>341000</v>
      </c>
      <c r="I10" s="7" t="s">
        <v>170</v>
      </c>
      <c r="J10" s="9" t="n">
        <v>4</v>
      </c>
      <c r="K10" s="10" t="n">
        <f aca="false">H10/F10</f>
        <v>4262.5</v>
      </c>
      <c r="L10" s="13"/>
      <c r="M10" s="7" t="s">
        <v>32</v>
      </c>
      <c r="N10" s="7" t="s">
        <v>199</v>
      </c>
      <c r="O10" s="7" t="s">
        <v>3</v>
      </c>
      <c r="P10" s="7" t="s">
        <v>200</v>
      </c>
    </row>
    <row r="11" customFormat="false" ht="23.25" hidden="false" customHeight="true" outlineLevel="0" collapsed="false">
      <c r="A11" s="7" t="s">
        <v>201</v>
      </c>
      <c r="B11" s="7" t="s">
        <v>202</v>
      </c>
      <c r="C11" s="7" t="s">
        <v>203</v>
      </c>
      <c r="D11" s="7"/>
      <c r="E11" s="7" t="s">
        <v>204</v>
      </c>
      <c r="F11" s="7" t="n">
        <v>7600</v>
      </c>
      <c r="G11" s="7"/>
      <c r="H11" s="8" t="n">
        <v>18000000</v>
      </c>
      <c r="I11" s="7" t="s">
        <v>170</v>
      </c>
      <c r="J11" s="9" t="n">
        <v>1.99</v>
      </c>
      <c r="K11" s="10" t="n">
        <f aca="false">H11/F11</f>
        <v>2368.42105263158</v>
      </c>
      <c r="L11" s="13"/>
      <c r="M11" s="7" t="s">
        <v>32</v>
      </c>
      <c r="N11" s="7" t="s">
        <v>205</v>
      </c>
      <c r="O11" s="7" t="s">
        <v>3</v>
      </c>
      <c r="P11" s="7" t="s">
        <v>206</v>
      </c>
    </row>
    <row r="12" customFormat="false" ht="23.25" hidden="false" customHeight="true" outlineLevel="0" collapsed="false">
      <c r="A12" s="7" t="s">
        <v>207</v>
      </c>
      <c r="B12" s="7" t="s">
        <v>208</v>
      </c>
      <c r="C12" s="7" t="s">
        <v>209</v>
      </c>
      <c r="D12" s="7"/>
      <c r="E12" s="7" t="s">
        <v>210</v>
      </c>
      <c r="F12" s="7" t="n">
        <v>330</v>
      </c>
      <c r="G12" s="7"/>
      <c r="H12" s="8" t="n">
        <v>487000</v>
      </c>
      <c r="I12" s="7" t="s">
        <v>170</v>
      </c>
      <c r="J12" s="9" t="n">
        <v>4</v>
      </c>
      <c r="K12" s="10" t="n">
        <f aca="false">H12/F12</f>
        <v>1475.75757575758</v>
      </c>
      <c r="L12" s="13"/>
      <c r="M12" s="7" t="s">
        <v>32</v>
      </c>
      <c r="N12" s="7" t="s">
        <v>211</v>
      </c>
      <c r="O12" s="7" t="s">
        <v>3</v>
      </c>
      <c r="P12" s="7" t="s">
        <v>212</v>
      </c>
    </row>
    <row r="13" customFormat="false" ht="23.25" hidden="false" customHeight="true" outlineLevel="0" collapsed="false">
      <c r="A13" s="7" t="s">
        <v>213</v>
      </c>
      <c r="B13" s="7" t="s">
        <v>208</v>
      </c>
      <c r="C13" s="7" t="s">
        <v>209</v>
      </c>
      <c r="D13" s="7"/>
      <c r="E13" s="7" t="s">
        <v>210</v>
      </c>
      <c r="F13" s="7" t="n">
        <v>600</v>
      </c>
      <c r="G13" s="7"/>
      <c r="H13" s="8" t="n">
        <v>1600000</v>
      </c>
      <c r="I13" s="7" t="s">
        <v>170</v>
      </c>
      <c r="J13" s="9" t="n">
        <v>4.74</v>
      </c>
      <c r="K13" s="10" t="n">
        <f aca="false">H13/F13</f>
        <v>2666.66666666667</v>
      </c>
      <c r="L13" s="13"/>
      <c r="M13" s="7" t="s">
        <v>32</v>
      </c>
      <c r="N13" s="7" t="s">
        <v>214</v>
      </c>
      <c r="O13" s="7" t="s">
        <v>3</v>
      </c>
      <c r="P13" s="7" t="s">
        <v>206</v>
      </c>
    </row>
    <row r="14" customFormat="false" ht="23.25" hidden="false" customHeight="true" outlineLevel="0" collapsed="false">
      <c r="A14" s="7" t="s">
        <v>215</v>
      </c>
      <c r="B14" s="7" t="s">
        <v>208</v>
      </c>
      <c r="C14" s="7" t="s">
        <v>216</v>
      </c>
      <c r="D14" s="7"/>
      <c r="E14" s="7" t="s">
        <v>217</v>
      </c>
      <c r="F14" s="7" t="n">
        <v>3750</v>
      </c>
      <c r="G14" s="7"/>
      <c r="H14" s="8" t="n">
        <v>2670000</v>
      </c>
      <c r="I14" s="7" t="s">
        <v>170</v>
      </c>
      <c r="J14" s="9" t="n">
        <v>8.5</v>
      </c>
      <c r="K14" s="10" t="n">
        <f aca="false">H14/F14</f>
        <v>712</v>
      </c>
      <c r="L14" s="13"/>
      <c r="M14" s="7" t="s">
        <v>32</v>
      </c>
      <c r="N14" s="7" t="s">
        <v>218</v>
      </c>
      <c r="O14" s="7" t="s">
        <v>3</v>
      </c>
      <c r="P14" s="7" t="s">
        <v>206</v>
      </c>
    </row>
    <row r="15" customFormat="false" ht="23.25" hidden="false" customHeight="true" outlineLevel="0" collapsed="false">
      <c r="A15" s="7" t="s">
        <v>219</v>
      </c>
      <c r="B15" s="7" t="s">
        <v>195</v>
      </c>
      <c r="C15" s="7" t="s">
        <v>220</v>
      </c>
      <c r="D15" s="7" t="s">
        <v>221</v>
      </c>
      <c r="E15" s="7" t="s">
        <v>188</v>
      </c>
      <c r="F15" s="7" t="n">
        <v>15000</v>
      </c>
      <c r="G15" s="7"/>
      <c r="H15" s="8"/>
      <c r="I15" s="7" t="s">
        <v>222</v>
      </c>
      <c r="J15" s="9"/>
      <c r="K15" s="12"/>
      <c r="L15" s="13"/>
      <c r="M15" s="7" t="s">
        <v>32</v>
      </c>
      <c r="N15" s="7" t="s">
        <v>223</v>
      </c>
      <c r="O15" s="7" t="s">
        <v>3</v>
      </c>
      <c r="P15" s="7" t="s">
        <v>224</v>
      </c>
    </row>
    <row r="16" customFormat="false" ht="23.25" hidden="false" customHeight="true" outlineLevel="0" collapsed="false">
      <c r="A16" s="7" t="s">
        <v>225</v>
      </c>
      <c r="B16" s="7" t="s">
        <v>195</v>
      </c>
      <c r="C16" s="7" t="s">
        <v>226</v>
      </c>
      <c r="D16" s="7" t="s">
        <v>221</v>
      </c>
      <c r="E16" s="7" t="s">
        <v>188</v>
      </c>
      <c r="F16" s="7" t="n">
        <v>3000</v>
      </c>
      <c r="G16" s="7"/>
      <c r="H16" s="8"/>
      <c r="I16" s="7" t="s">
        <v>222</v>
      </c>
      <c r="J16" s="9"/>
      <c r="K16" s="12"/>
      <c r="L16" s="13"/>
      <c r="M16" s="7" t="s">
        <v>32</v>
      </c>
      <c r="N16" s="7" t="s">
        <v>227</v>
      </c>
      <c r="O16" s="7" t="s">
        <v>3</v>
      </c>
      <c r="P16" s="7" t="s">
        <v>228</v>
      </c>
    </row>
    <row r="17" customFormat="false" ht="23.25" hidden="false" customHeight="true" outlineLevel="0" collapsed="false">
      <c r="A17" s="7" t="s">
        <v>229</v>
      </c>
      <c r="B17" s="7" t="s">
        <v>202</v>
      </c>
      <c r="C17" s="7" t="s">
        <v>230</v>
      </c>
      <c r="D17" s="7" t="s">
        <v>231</v>
      </c>
      <c r="E17" s="7" t="s">
        <v>231</v>
      </c>
      <c r="F17" s="7" t="n">
        <v>500</v>
      </c>
      <c r="G17" s="7"/>
      <c r="H17" s="8" t="n">
        <v>1850000</v>
      </c>
      <c r="I17" s="7" t="s">
        <v>170</v>
      </c>
      <c r="J17" s="9" t="n">
        <v>4</v>
      </c>
      <c r="K17" s="10" t="n">
        <f aca="false">H17/F17</f>
        <v>3700</v>
      </c>
      <c r="L17" s="13"/>
      <c r="M17" s="7" t="s">
        <v>32</v>
      </c>
      <c r="N17" s="7" t="s">
        <v>232</v>
      </c>
      <c r="O17" s="7" t="s">
        <v>3</v>
      </c>
      <c r="P17" s="7" t="s">
        <v>233</v>
      </c>
    </row>
    <row r="18" customFormat="false" ht="23.25" hidden="false" customHeight="true" outlineLevel="0" collapsed="false">
      <c r="A18" s="7" t="s">
        <v>234</v>
      </c>
      <c r="B18" s="7" t="s">
        <v>166</v>
      </c>
      <c r="C18" s="7" t="s">
        <v>235</v>
      </c>
      <c r="D18" s="7" t="s">
        <v>236</v>
      </c>
      <c r="E18" s="7" t="s">
        <v>188</v>
      </c>
      <c r="F18" s="7"/>
      <c r="G18" s="7" t="n">
        <v>38</v>
      </c>
      <c r="H18" s="8"/>
      <c r="I18" s="7" t="s">
        <v>237</v>
      </c>
      <c r="J18" s="9"/>
      <c r="K18" s="12"/>
      <c r="L18" s="13"/>
      <c r="M18" s="7" t="s">
        <v>238</v>
      </c>
      <c r="N18" s="7" t="s">
        <v>71</v>
      </c>
      <c r="O18" s="7" t="s">
        <v>3</v>
      </c>
      <c r="P18" s="7" t="s">
        <v>239</v>
      </c>
    </row>
    <row r="19" customFormat="false" ht="45.75" hidden="false" customHeight="true" outlineLevel="0" collapsed="false">
      <c r="A19" s="7" t="s">
        <v>240</v>
      </c>
      <c r="B19" s="7" t="s">
        <v>166</v>
      </c>
      <c r="C19" s="7" t="s">
        <v>241</v>
      </c>
      <c r="D19" s="7" t="s">
        <v>242</v>
      </c>
      <c r="E19" s="7" t="s">
        <v>198</v>
      </c>
      <c r="F19" s="7" t="n">
        <v>1670</v>
      </c>
      <c r="G19" s="7" t="n">
        <v>54</v>
      </c>
      <c r="H19" s="8"/>
      <c r="I19" s="7" t="s">
        <v>243</v>
      </c>
      <c r="J19" s="7"/>
      <c r="K19" s="12"/>
      <c r="L19" s="10" t="n">
        <v>120000</v>
      </c>
      <c r="M19" s="7" t="s">
        <v>244</v>
      </c>
      <c r="N19" s="7" t="s">
        <v>245</v>
      </c>
      <c r="O19" s="7" t="s">
        <v>3</v>
      </c>
      <c r="P19" s="7" t="s">
        <v>246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3" min="2" style="1" width="16"/>
    <col collapsed="false" customWidth="true" hidden="false" outlineLevel="0" max="4" min="4" style="1" width="50"/>
  </cols>
  <sheetData>
    <row r="1" customFormat="false" ht="17.25" hidden="false" customHeight="true" outlineLevel="0" collapsed="false">
      <c r="A1" s="2" t="s">
        <v>247</v>
      </c>
    </row>
    <row r="2" customFormat="false" ht="15" hidden="false" customHeight="true" outlineLevel="0" collapsed="false">
      <c r="A2" s="3" t="s">
        <v>248</v>
      </c>
    </row>
    <row r="4" customFormat="false" ht="15" hidden="false" customHeight="true" outlineLevel="0" collapsed="false">
      <c r="A4" s="14" t="s">
        <v>249</v>
      </c>
    </row>
    <row r="5" customFormat="false" ht="23.25" hidden="false" customHeight="true" outlineLevel="0" collapsed="false">
      <c r="A5" s="15" t="s">
        <v>250</v>
      </c>
      <c r="B5" s="16" t="n">
        <v>0.058</v>
      </c>
      <c r="D5" s="5" t="s">
        <v>251</v>
      </c>
    </row>
    <row r="6" customFormat="false" ht="23.25" hidden="false" customHeight="true" outlineLevel="0" collapsed="false">
      <c r="A6" s="15" t="s">
        <v>252</v>
      </c>
      <c r="B6" s="16" t="n">
        <v>0.225</v>
      </c>
      <c r="D6" s="5" t="s">
        <v>253</v>
      </c>
    </row>
    <row r="8" customFormat="false" ht="15" hidden="false" customHeight="true" outlineLevel="0" collapsed="false">
      <c r="A8" s="14" t="s">
        <v>254</v>
      </c>
    </row>
    <row r="9" customFormat="false" ht="15" hidden="false" customHeight="true" outlineLevel="0" collapsed="false">
      <c r="A9" s="6" t="s">
        <v>255</v>
      </c>
      <c r="B9" s="6" t="s">
        <v>256</v>
      </c>
      <c r="C9" s="6" t="s">
        <v>257</v>
      </c>
      <c r="D9" s="6" t="s">
        <v>258</v>
      </c>
    </row>
    <row r="10" customFormat="false" ht="15" hidden="false" customHeight="true" outlineLevel="0" collapsed="false">
      <c r="A10" s="7" t="s">
        <v>259</v>
      </c>
      <c r="B10" s="8" t="n">
        <v>40000</v>
      </c>
      <c r="C10" s="8" t="n">
        <v>80000</v>
      </c>
      <c r="D10" s="7" t="s">
        <v>260</v>
      </c>
    </row>
    <row r="11" customFormat="false" ht="23.25" hidden="false" customHeight="true" outlineLevel="0" collapsed="false">
      <c r="A11" s="7" t="s">
        <v>261</v>
      </c>
      <c r="B11" s="8" t="n">
        <v>80000</v>
      </c>
      <c r="C11" s="8" t="n">
        <v>140000</v>
      </c>
      <c r="D11" s="7" t="s">
        <v>262</v>
      </c>
    </row>
    <row r="12" customFormat="false" ht="15" hidden="false" customHeight="true" outlineLevel="0" collapsed="false">
      <c r="A12" s="7" t="s">
        <v>263</v>
      </c>
      <c r="B12" s="8" t="n">
        <v>150000</v>
      </c>
      <c r="C12" s="8" t="n">
        <v>300000</v>
      </c>
      <c r="D12" s="7" t="s">
        <v>264</v>
      </c>
    </row>
    <row r="13" customFormat="false" ht="23.25" hidden="false" customHeight="true" outlineLevel="0" collapsed="false">
      <c r="A13" s="7" t="s">
        <v>265</v>
      </c>
      <c r="B13" s="8" t="n">
        <v>300000</v>
      </c>
      <c r="C13" s="8" t="n">
        <v>2000000</v>
      </c>
      <c r="D13" s="7" t="s">
        <v>266</v>
      </c>
    </row>
    <row r="14" customFormat="false" ht="23.25" hidden="false" customHeight="true" outlineLevel="0" collapsed="false">
      <c r="A14" s="7" t="s">
        <v>267</v>
      </c>
      <c r="B14" s="8" t="n">
        <v>210000</v>
      </c>
      <c r="C14" s="8" t="n">
        <v>307000</v>
      </c>
      <c r="D14" s="7" t="s">
        <v>268</v>
      </c>
    </row>
    <row r="16" customFormat="false" ht="15" hidden="false" customHeight="true" outlineLevel="0" collapsed="false">
      <c r="A16" s="14" t="s">
        <v>269</v>
      </c>
    </row>
    <row r="17" customFormat="false" ht="15" hidden="false" customHeight="true" outlineLevel="0" collapsed="false">
      <c r="A17" s="15" t="s">
        <v>270</v>
      </c>
      <c r="B17" s="17" t="n">
        <v>22</v>
      </c>
    </row>
    <row r="18" customFormat="false" ht="15" hidden="false" customHeight="true" outlineLevel="0" collapsed="false">
      <c r="A18" s="15" t="s">
        <v>271</v>
      </c>
      <c r="B18" s="17" t="n">
        <v>45</v>
      </c>
    </row>
    <row r="19" customFormat="false" ht="15" hidden="false" customHeight="true" outlineLevel="0" collapsed="false">
      <c r="A19" s="15" t="s">
        <v>272</v>
      </c>
      <c r="B19" s="17" t="n">
        <v>85</v>
      </c>
    </row>
    <row r="20" customFormat="false" ht="15" hidden="false" customHeight="true" outlineLevel="0" collapsed="false">
      <c r="A20" s="15" t="s">
        <v>273</v>
      </c>
      <c r="B20" s="17" t="n">
        <v>140</v>
      </c>
    </row>
    <row r="22" customFormat="false" ht="15" hidden="false" customHeight="true" outlineLevel="0" collapsed="false">
      <c r="A22" s="14" t="s">
        <v>274</v>
      </c>
    </row>
    <row r="23" customFormat="false" ht="15" hidden="false" customHeight="true" outlineLevel="0" collapsed="false">
      <c r="A23" s="15" t="s">
        <v>275</v>
      </c>
      <c r="B23" s="18" t="n">
        <v>1.5</v>
      </c>
      <c r="D23" s="15" t="s">
        <v>276</v>
      </c>
    </row>
    <row r="24" customFormat="false" ht="15" hidden="false" customHeight="true" outlineLevel="0" collapsed="false">
      <c r="A24" s="15" t="s">
        <v>277</v>
      </c>
      <c r="B24" s="18" t="n">
        <v>1</v>
      </c>
      <c r="D24" s="15"/>
    </row>
    <row r="25" customFormat="false" ht="15" hidden="false" customHeight="true" outlineLevel="0" collapsed="false">
      <c r="A25" s="15" t="s">
        <v>278</v>
      </c>
      <c r="B25" s="18" t="n">
        <v>0.7</v>
      </c>
      <c r="D25" s="15"/>
    </row>
    <row r="27" customFormat="false" ht="15" hidden="false" customHeight="true" outlineLevel="0" collapsed="false">
      <c r="A27" s="14" t="s">
        <v>279</v>
      </c>
    </row>
    <row r="28" customFormat="false" ht="15" hidden="false" customHeight="true" outlineLevel="0" collapsed="false">
      <c r="A28" s="15" t="s">
        <v>280</v>
      </c>
      <c r="B28" s="19" t="n">
        <v>38</v>
      </c>
    </row>
    <row r="29" customFormat="false" ht="15" hidden="false" customHeight="true" outlineLevel="0" collapsed="false">
      <c r="A29" s="15" t="s">
        <v>281</v>
      </c>
      <c r="B29" s="20" t="n">
        <f aca="false">(B11+C11)/2</f>
        <v>110000</v>
      </c>
    </row>
    <row r="30" customFormat="false" ht="15" hidden="false" customHeight="true" outlineLevel="0" collapsed="false">
      <c r="A30" s="15" t="s">
        <v>282</v>
      </c>
      <c r="B30" s="18" t="n">
        <v>1</v>
      </c>
    </row>
    <row r="31" customFormat="false" ht="15" hidden="false" customHeight="true" outlineLevel="0" collapsed="false">
      <c r="A31" s="14" t="s">
        <v>283</v>
      </c>
      <c r="B31" s="21" t="n">
        <f aca="false">B28*B29*B30</f>
        <v>4180000</v>
      </c>
    </row>
    <row r="32" customFormat="false" ht="15" hidden="false" customHeight="true" outlineLevel="0" collapsed="false">
      <c r="A32" s="14" t="s">
        <v>284</v>
      </c>
      <c r="B32" s="21" t="n">
        <f aca="false">B31*B5</f>
        <v>242440</v>
      </c>
    </row>
    <row r="34" customFormat="false" ht="15" hidden="false" customHeight="true" outlineLevel="0" collapsed="false">
      <c r="A34" s="14" t="s">
        <v>285</v>
      </c>
    </row>
    <row r="35" customFormat="false" ht="34.5" hidden="false" customHeight="true" outlineLevel="0" collapsed="false">
      <c r="A35" s="5" t="s">
        <v>286</v>
      </c>
    </row>
    <row r="36" customFormat="false" ht="15" hidden="false" customHeight="true" outlineLevel="0" collapsed="false">
      <c r="A36" s="5" t="s">
        <v>287</v>
      </c>
    </row>
    <row r="37" customFormat="false" ht="45.75" hidden="false" customHeight="true" outlineLevel="0" collapsed="false">
      <c r="A37" s="5" t="s">
        <v>288</v>
      </c>
    </row>
    <row r="38" customFormat="false" ht="45.75" hidden="false" customHeight="true" outlineLevel="0" collapsed="false">
      <c r="A38" s="5" t="s">
        <v>289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44"/>
    <col collapsed="false" customWidth="true" hidden="false" outlineLevel="0" max="3" min="3" style="1" width="30"/>
    <col collapsed="false" customWidth="true" hidden="false" outlineLevel="0" max="4" min="4" style="1" width="12"/>
  </cols>
  <sheetData>
    <row r="1" customFormat="false" ht="17.25" hidden="false" customHeight="true" outlineLevel="0" collapsed="false">
      <c r="A1" s="2" t="s">
        <v>290</v>
      </c>
    </row>
    <row r="3" customFormat="false" ht="15" hidden="false" customHeight="true" outlineLevel="0" collapsed="false">
      <c r="A3" s="6" t="s">
        <v>291</v>
      </c>
      <c r="B3" s="6" t="s">
        <v>292</v>
      </c>
      <c r="C3" s="6" t="s">
        <v>293</v>
      </c>
      <c r="D3" s="6" t="s">
        <v>294</v>
      </c>
    </row>
    <row r="4" customFormat="false" ht="15" hidden="false" customHeight="true" outlineLevel="0" collapsed="false">
      <c r="A4" s="7" t="s">
        <v>295</v>
      </c>
      <c r="B4" s="7" t="s">
        <v>296</v>
      </c>
      <c r="C4" s="7" t="s">
        <v>297</v>
      </c>
      <c r="D4" s="7" t="s">
        <v>170</v>
      </c>
    </row>
    <row r="5" customFormat="false" ht="23.25" hidden="false" customHeight="true" outlineLevel="0" collapsed="false">
      <c r="A5" s="7" t="s">
        <v>150</v>
      </c>
      <c r="B5" s="7" t="s">
        <v>298</v>
      </c>
      <c r="C5" s="7" t="s">
        <v>299</v>
      </c>
      <c r="D5" s="7" t="s">
        <v>170</v>
      </c>
    </row>
    <row r="6" customFormat="false" ht="15" hidden="false" customHeight="true" outlineLevel="0" collapsed="false">
      <c r="A6" s="7" t="s">
        <v>300</v>
      </c>
      <c r="B6" s="7" t="s">
        <v>301</v>
      </c>
      <c r="C6" s="7" t="s">
        <v>302</v>
      </c>
      <c r="D6" s="7" t="s">
        <v>170</v>
      </c>
    </row>
    <row r="7" customFormat="false" ht="15" hidden="false" customHeight="true" outlineLevel="0" collapsed="false">
      <c r="A7" s="7" t="s">
        <v>154</v>
      </c>
      <c r="B7" s="7" t="s">
        <v>303</v>
      </c>
      <c r="C7" s="7" t="s">
        <v>304</v>
      </c>
      <c r="D7" s="7" t="s">
        <v>170</v>
      </c>
    </row>
    <row r="8" customFormat="false" ht="23.25" hidden="false" customHeight="true" outlineLevel="0" collapsed="false">
      <c r="A8" s="7" t="s">
        <v>305</v>
      </c>
      <c r="B8" s="7" t="s">
        <v>306</v>
      </c>
      <c r="C8" s="7" t="s">
        <v>307</v>
      </c>
      <c r="D8" s="7" t="s">
        <v>308</v>
      </c>
    </row>
    <row r="9" customFormat="false" ht="15" hidden="false" customHeight="true" outlineLevel="0" collapsed="false">
      <c r="A9" s="7" t="s">
        <v>156</v>
      </c>
      <c r="B9" s="7" t="s">
        <v>309</v>
      </c>
      <c r="C9" s="7" t="s">
        <v>310</v>
      </c>
      <c r="D9" s="7" t="s">
        <v>170</v>
      </c>
    </row>
    <row r="10" customFormat="false" ht="23.25" hidden="false" customHeight="true" outlineLevel="0" collapsed="false">
      <c r="A10" s="7" t="s">
        <v>157</v>
      </c>
      <c r="B10" s="7" t="s">
        <v>311</v>
      </c>
      <c r="C10" s="7" t="s">
        <v>312</v>
      </c>
      <c r="D10" s="7" t="s">
        <v>76</v>
      </c>
    </row>
    <row r="11" customFormat="false" ht="23.25" hidden="false" customHeight="true" outlineLevel="0" collapsed="false">
      <c r="A11" s="7" t="s">
        <v>159</v>
      </c>
      <c r="B11" s="7" t="s">
        <v>313</v>
      </c>
      <c r="C11" s="7" t="s">
        <v>314</v>
      </c>
      <c r="D11" s="7" t="s">
        <v>315</v>
      </c>
    </row>
    <row r="12" customFormat="false" ht="15" hidden="false" customHeight="true" outlineLevel="0" collapsed="false">
      <c r="A12" s="7" t="s">
        <v>316</v>
      </c>
      <c r="B12" s="7" t="s">
        <v>317</v>
      </c>
      <c r="C12" s="7" t="s">
        <v>318</v>
      </c>
      <c r="D12" s="7" t="s">
        <v>237</v>
      </c>
    </row>
    <row r="13" customFormat="false" ht="23.25" hidden="false" customHeight="true" outlineLevel="0" collapsed="false">
      <c r="A13" s="7" t="s">
        <v>160</v>
      </c>
      <c r="B13" s="7" t="s">
        <v>319</v>
      </c>
      <c r="C13" s="7" t="s">
        <v>320</v>
      </c>
      <c r="D13" s="7" t="s">
        <v>237</v>
      </c>
    </row>
    <row r="14" customFormat="false" ht="15" hidden="false" customHeight="true" outlineLevel="0" collapsed="false">
      <c r="A14" s="7" t="s">
        <v>158</v>
      </c>
      <c r="B14" s="7" t="s">
        <v>321</v>
      </c>
      <c r="C14" s="7" t="s">
        <v>314</v>
      </c>
      <c r="D14" s="7" t="s">
        <v>170</v>
      </c>
    </row>
    <row r="15" customFormat="false" ht="23.25" hidden="false" customHeight="true" outlineLevel="0" collapsed="false">
      <c r="A15" s="7" t="s">
        <v>322</v>
      </c>
      <c r="B15" s="7" t="s">
        <v>323</v>
      </c>
      <c r="C15" s="7" t="s">
        <v>324</v>
      </c>
      <c r="D15" s="7" t="s">
        <v>325</v>
      </c>
    </row>
    <row r="16" customFormat="false" ht="15" hidden="false" customHeight="true" outlineLevel="0" collapsed="false">
      <c r="A16" s="7" t="s">
        <v>326</v>
      </c>
      <c r="B16" s="7" t="s">
        <v>327</v>
      </c>
      <c r="C16" s="7" t="s">
        <v>328</v>
      </c>
      <c r="D16" s="7" t="s">
        <v>76</v>
      </c>
    </row>
    <row r="17" customFormat="false" ht="15" hidden="false" customHeight="true" outlineLevel="0" collapsed="false">
      <c r="A17" s="7" t="s">
        <v>163</v>
      </c>
      <c r="B17" s="7" t="s">
        <v>329</v>
      </c>
      <c r="C17" s="7" t="s">
        <v>330</v>
      </c>
      <c r="D17" s="7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2"/>
    <col collapsed="false" customWidth="true" hidden="false" outlineLevel="0" max="4" min="4" style="0" width="60"/>
  </cols>
  <sheetData>
    <row r="1" customFormat="false" ht="16.15" hidden="false" customHeight="false" outlineLevel="0" collapsed="false">
      <c r="A1" s="22" t="s">
        <v>331</v>
      </c>
    </row>
    <row r="2" customFormat="false" ht="15" hidden="false" customHeight="false" outlineLevel="0" collapsed="false">
      <c r="A2" s="23" t="s">
        <v>332</v>
      </c>
    </row>
    <row r="4" customFormat="false" ht="26.85" hidden="false" customHeight="false" outlineLevel="0" collapsed="false">
      <c r="A4" s="6" t="s">
        <v>333</v>
      </c>
      <c r="B4" s="6" t="s">
        <v>334</v>
      </c>
      <c r="C4" s="6" t="s">
        <v>335</v>
      </c>
      <c r="D4" s="6" t="s">
        <v>336</v>
      </c>
    </row>
    <row r="5" customFormat="false" ht="15" hidden="false" customHeight="false" outlineLevel="0" collapsed="false">
      <c r="A5" s="7" t="s">
        <v>337</v>
      </c>
      <c r="B5" s="8" t="n">
        <v>69496</v>
      </c>
      <c r="C5" s="9" t="n">
        <v>57.1</v>
      </c>
      <c r="D5" s="7" t="s">
        <v>338</v>
      </c>
    </row>
    <row r="6" customFormat="false" ht="15" hidden="false" customHeight="false" outlineLevel="0" collapsed="false">
      <c r="A6" s="7" t="s">
        <v>231</v>
      </c>
      <c r="B6" s="8" t="n">
        <v>122679</v>
      </c>
      <c r="C6" s="9" t="n">
        <v>55.8</v>
      </c>
      <c r="D6" s="7" t="s">
        <v>339</v>
      </c>
    </row>
    <row r="7" customFormat="false" ht="15" hidden="false" customHeight="false" outlineLevel="0" collapsed="false">
      <c r="A7" s="7" t="s">
        <v>340</v>
      </c>
      <c r="B7" s="8" t="n">
        <v>66378</v>
      </c>
      <c r="C7" s="9" t="n">
        <v>45.7</v>
      </c>
      <c r="D7" s="7" t="s">
        <v>341</v>
      </c>
    </row>
    <row r="8" customFormat="false" ht="15" hidden="false" customHeight="false" outlineLevel="0" collapsed="false">
      <c r="A8" s="7" t="s">
        <v>192</v>
      </c>
      <c r="B8" s="8" t="n">
        <v>16101</v>
      </c>
      <c r="C8" s="9" t="n">
        <v>44.3</v>
      </c>
      <c r="D8" s="7" t="s">
        <v>342</v>
      </c>
    </row>
    <row r="9" customFormat="false" ht="15" hidden="false" customHeight="false" outlineLevel="0" collapsed="false">
      <c r="A9" s="7" t="s">
        <v>169</v>
      </c>
      <c r="B9" s="8" t="n">
        <v>447360</v>
      </c>
      <c r="C9" s="9" t="n">
        <v>43.3</v>
      </c>
      <c r="D9" s="7" t="s">
        <v>343</v>
      </c>
    </row>
    <row r="10" customFormat="false" ht="15" hidden="false" customHeight="false" outlineLevel="0" collapsed="false">
      <c r="A10" s="7" t="s">
        <v>344</v>
      </c>
      <c r="B10" s="8" t="n">
        <v>85661</v>
      </c>
      <c r="C10" s="9" t="n">
        <v>41.5</v>
      </c>
      <c r="D10" s="7" t="s">
        <v>345</v>
      </c>
    </row>
    <row r="11" customFormat="false" ht="15" hidden="false" customHeight="false" outlineLevel="0" collapsed="false">
      <c r="A11" s="7" t="s">
        <v>210</v>
      </c>
      <c r="B11" s="8" t="n">
        <v>90750</v>
      </c>
      <c r="C11" s="9" t="n">
        <v>40.8</v>
      </c>
      <c r="D11" s="7"/>
    </row>
    <row r="12" customFormat="false" ht="15" hidden="false" customHeight="false" outlineLevel="0" collapsed="false">
      <c r="A12" s="7" t="s">
        <v>346</v>
      </c>
      <c r="B12" s="8" t="n">
        <v>250193</v>
      </c>
      <c r="C12" s="9" t="n">
        <v>40.8</v>
      </c>
      <c r="D12" s="7"/>
    </row>
    <row r="13" customFormat="false" ht="15" hidden="false" customHeight="false" outlineLevel="0" collapsed="false">
      <c r="A13" s="7" t="s">
        <v>188</v>
      </c>
      <c r="B13" s="8" t="n">
        <v>164484</v>
      </c>
      <c r="C13" s="9" t="n">
        <v>40.5</v>
      </c>
      <c r="D13" s="7"/>
    </row>
    <row r="14" customFormat="false" ht="15" hidden="false" customHeight="false" outlineLevel="0" collapsed="false">
      <c r="A14" s="7" t="s">
        <v>347</v>
      </c>
      <c r="B14" s="8" t="n">
        <v>48980</v>
      </c>
      <c r="C14" s="9" t="n">
        <v>40.5</v>
      </c>
      <c r="D14" s="7" t="s">
        <v>348</v>
      </c>
    </row>
    <row r="15" customFormat="false" ht="15" hidden="false" customHeight="false" outlineLevel="0" collapsed="false">
      <c r="A15" s="7" t="s">
        <v>198</v>
      </c>
      <c r="B15" s="8" t="n">
        <v>243260</v>
      </c>
      <c r="C15" s="9" t="n">
        <v>40.3</v>
      </c>
      <c r="D15" s="7" t="s">
        <v>349</v>
      </c>
    </row>
    <row r="16" customFormat="false" ht="15" hidden="false" customHeight="false" outlineLevel="0" collapsed="false">
      <c r="A16" s="7" t="s">
        <v>350</v>
      </c>
      <c r="B16" s="8" t="n">
        <v>10225</v>
      </c>
      <c r="C16" s="9" t="n">
        <v>37.9</v>
      </c>
      <c r="D16" s="7"/>
    </row>
    <row r="17" customFormat="false" ht="15" hidden="false" customHeight="false" outlineLevel="0" collapsed="false">
      <c r="A17" s="7" t="s">
        <v>351</v>
      </c>
      <c r="B17" s="8" t="n">
        <v>148230</v>
      </c>
      <c r="C17" s="9" t="n">
        <v>37.5</v>
      </c>
      <c r="D17" s="7"/>
    </row>
    <row r="18" customFormat="false" ht="15" hidden="false" customHeight="false" outlineLevel="0" collapsed="false">
      <c r="A18" s="7" t="s">
        <v>352</v>
      </c>
      <c r="B18" s="8" t="n">
        <v>45767</v>
      </c>
      <c r="C18" s="9" t="n">
        <v>36.7</v>
      </c>
      <c r="D18" s="7"/>
    </row>
    <row r="19" customFormat="false" ht="15" hidden="false" customHeight="false" outlineLevel="0" collapsed="false">
      <c r="A19" s="7" t="s">
        <v>217</v>
      </c>
      <c r="B19" s="8" t="n">
        <v>38393</v>
      </c>
      <c r="C19" s="9" t="n">
        <v>36.2</v>
      </c>
      <c r="D19" s="7" t="s">
        <v>353</v>
      </c>
    </row>
    <row r="20" customFormat="false" ht="15" hidden="false" customHeight="false" outlineLevel="0" collapsed="false">
      <c r="A20" s="7" t="s">
        <v>354</v>
      </c>
      <c r="B20" s="8" t="n">
        <v>93932</v>
      </c>
      <c r="C20" s="9" t="n">
        <v>35.3</v>
      </c>
      <c r="D20" s="7" t="s">
        <v>355</v>
      </c>
    </row>
    <row r="22" customFormat="false" ht="15" hidden="false" customHeight="false" outlineLevel="0" collapsed="false">
      <c r="A22" s="24" t="s">
        <v>356</v>
      </c>
    </row>
    <row r="23" customFormat="false" ht="15" hidden="false" customHeight="true" outlineLevel="0" collapsed="false">
      <c r="A23" s="25" t="s">
        <v>357</v>
      </c>
      <c r="B23" s="25"/>
      <c r="C23" s="25"/>
      <c r="D23" s="25"/>
    </row>
    <row r="24" customFormat="false" ht="15" hidden="false" customHeight="true" outlineLevel="0" collapsed="false">
      <c r="A24" s="25" t="s">
        <v>358</v>
      </c>
      <c r="B24" s="25"/>
      <c r="C24" s="25"/>
      <c r="D24" s="25"/>
    </row>
    <row r="25" customFormat="false" ht="23.85" hidden="false" customHeight="true" outlineLevel="0" collapsed="false">
      <c r="A25" s="25" t="s">
        <v>359</v>
      </c>
      <c r="B25" s="25"/>
      <c r="C25" s="25"/>
      <c r="D25" s="25"/>
    </row>
    <row r="26" customFormat="false" ht="15" hidden="false" customHeight="true" outlineLevel="0" collapsed="false">
      <c r="A26" s="25" t="s">
        <v>360</v>
      </c>
      <c r="B26" s="25"/>
      <c r="C26" s="25"/>
      <c r="D26" s="25"/>
    </row>
    <row r="27" customFormat="false" ht="23.85" hidden="false" customHeight="true" outlineLevel="0" collapsed="false">
      <c r="A27" s="25" t="s">
        <v>361</v>
      </c>
      <c r="B27" s="25"/>
      <c r="C27" s="25"/>
      <c r="D27" s="25"/>
    </row>
    <row r="28" customFormat="false" ht="15" hidden="false" customHeight="true" outlineLevel="0" collapsed="false">
      <c r="A28" s="25" t="s">
        <v>362</v>
      </c>
      <c r="B28" s="25"/>
      <c r="C28" s="25"/>
      <c r="D28" s="25"/>
    </row>
  </sheetData>
  <mergeCells count="6">
    <mergeCell ref="A23:D23"/>
    <mergeCell ref="A24:D24"/>
    <mergeCell ref="A25:D25"/>
    <mergeCell ref="A26:D26"/>
    <mergeCell ref="A27:D27"/>
    <mergeCell ref="A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2026-06-22T07:28:43Z</dcterms:created>
  <dc:creator>openpyxl</dc:creator>
  <dc:description/>
  <dc:language>en-US</dc:language>
  <cp:lastModifiedBy/>
  <dcterms:modified xsi:type="dcterms:W3CDTF">2026-06-22T08:25:23Z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